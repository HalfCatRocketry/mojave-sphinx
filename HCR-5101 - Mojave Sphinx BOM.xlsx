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mc:AlternateContent xmlns:mc="http://schemas.openxmlformats.org/markup-compatibility/2006">
    <mc:Choice Requires="x15">
      <x15ac:absPath xmlns:x15ac="http://schemas.microsoft.com/office/spreadsheetml/2010/11/ac" url="C:\Users\Owner\Documents\Half Cat Rocketry\Resources\HCR-5100\Release Files\01\"/>
    </mc:Choice>
  </mc:AlternateContent>
  <xr:revisionPtr revIDLastSave="0" documentId="13_ncr:1_{A111B27E-EFB6-4B1F-97B0-7840EBBC11F8}" xr6:coauthVersionLast="47" xr6:coauthVersionMax="47" xr10:uidLastSave="{00000000-0000-0000-0000-000000000000}"/>
  <bookViews>
    <workbookView xWindow="-110" yWindow="-110" windowWidth="38620" windowHeight="21100" xr2:uid="{00000000-000D-0000-FFFF-FFFF00000000}"/>
  </bookViews>
  <sheets>
    <sheet name="Cover Page" sheetId="1" r:id="rId1"/>
    <sheet name="Mojave Sphinx" sheetId="2" r:id="rId2"/>
    <sheet name="Consumables" sheetId="7" r:id="rId3"/>
    <sheet name="Red Toolbox GSE"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 i="3" l="1"/>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B6" i="3"/>
  <c r="F11" i="7"/>
  <c r="F10" i="7"/>
  <c r="F9" i="7"/>
  <c r="F8" i="7"/>
  <c r="F7" i="7"/>
  <c r="F6" i="7"/>
  <c r="B6" i="7"/>
  <c r="F5" i="7"/>
  <c r="F12" i="7" s="1"/>
  <c r="F168" i="2"/>
  <c r="F167" i="2"/>
  <c r="F166" i="2"/>
  <c r="F165" i="2"/>
  <c r="F164" i="2"/>
  <c r="F163" i="2"/>
  <c r="F162" i="2"/>
  <c r="F161" i="2"/>
  <c r="F160" i="2"/>
  <c r="F159" i="2"/>
  <c r="F158" i="2"/>
  <c r="F157" i="2"/>
  <c r="F156" i="2"/>
  <c r="F155" i="2"/>
  <c r="F154" i="2"/>
  <c r="F153" i="2"/>
  <c r="F152" i="2"/>
  <c r="B152" i="2"/>
  <c r="F151" i="2"/>
  <c r="F169" i="2" s="1"/>
  <c r="F144" i="2"/>
  <c r="F143" i="2"/>
  <c r="F142" i="2"/>
  <c r="F141" i="2"/>
  <c r="F140" i="2"/>
  <c r="F139" i="2"/>
  <c r="F138" i="2"/>
  <c r="F137" i="2"/>
  <c r="F136" i="2"/>
  <c r="F135" i="2"/>
  <c r="F134" i="2"/>
  <c r="F133" i="2"/>
  <c r="F132" i="2"/>
  <c r="F131" i="2"/>
  <c r="F130" i="2"/>
  <c r="F129" i="2"/>
  <c r="F128" i="2"/>
  <c r="F127" i="2"/>
  <c r="F126" i="2"/>
  <c r="F125" i="2"/>
  <c r="F124" i="2"/>
  <c r="F123" i="2"/>
  <c r="F122" i="2"/>
  <c r="F121" i="2"/>
  <c r="F120" i="2"/>
  <c r="F119" i="2"/>
  <c r="B119" i="2"/>
  <c r="F118" i="2"/>
  <c r="F145" i="2" s="1"/>
  <c r="F111" i="2"/>
  <c r="F110" i="2"/>
  <c r="F109" i="2"/>
  <c r="F108" i="2"/>
  <c r="F107" i="2"/>
  <c r="F106" i="2"/>
  <c r="F105" i="2"/>
  <c r="B105" i="2"/>
  <c r="F104" i="2"/>
  <c r="F112" i="2" s="1"/>
  <c r="F97" i="2"/>
  <c r="F96" i="2"/>
  <c r="F95" i="2"/>
  <c r="F94" i="2"/>
  <c r="F93" i="2"/>
  <c r="F92" i="2"/>
  <c r="F91" i="2"/>
  <c r="F90" i="2"/>
  <c r="F89" i="2"/>
  <c r="F88" i="2"/>
  <c r="F87" i="2"/>
  <c r="F86" i="2"/>
  <c r="F85" i="2"/>
  <c r="F84" i="2"/>
  <c r="F83" i="2"/>
  <c r="F82" i="2"/>
  <c r="F81" i="2"/>
  <c r="F80" i="2"/>
  <c r="F79" i="2"/>
  <c r="F78" i="2"/>
  <c r="F77" i="2"/>
  <c r="F57" i="2"/>
  <c r="F58" i="2"/>
  <c r="F59" i="2"/>
  <c r="F60" i="2"/>
  <c r="F61" i="2"/>
  <c r="F62" i="2"/>
  <c r="F63" i="2"/>
  <c r="F64" i="2"/>
  <c r="F65" i="2"/>
  <c r="F56" i="2"/>
  <c r="F66" i="2"/>
  <c r="F67" i="2"/>
  <c r="F68" i="2"/>
  <c r="F69" i="2"/>
  <c r="F70" i="2"/>
  <c r="F49" i="2"/>
  <c r="F31" i="2"/>
  <c r="F32" i="2"/>
  <c r="F33" i="2"/>
  <c r="F34" i="2"/>
  <c r="F35" i="2"/>
  <c r="F36" i="2"/>
  <c r="F37" i="2"/>
  <c r="F38" i="2"/>
  <c r="F39" i="2"/>
  <c r="F40" i="2"/>
  <c r="F41" i="2"/>
  <c r="F42" i="2"/>
  <c r="F43" i="2"/>
  <c r="F44" i="2"/>
  <c r="F45" i="2"/>
  <c r="F46" i="2"/>
  <c r="F47" i="2"/>
  <c r="F48" i="2"/>
  <c r="F30" i="2"/>
  <c r="F23" i="2"/>
  <c r="F22" i="2"/>
  <c r="F21" i="2"/>
  <c r="F20" i="2"/>
  <c r="F19" i="2"/>
  <c r="F18" i="2"/>
  <c r="F17" i="2"/>
  <c r="F16" i="2"/>
  <c r="F15" i="2"/>
  <c r="F14" i="2"/>
  <c r="F13" i="2"/>
  <c r="F12" i="2"/>
  <c r="F11" i="2"/>
  <c r="F10" i="2"/>
  <c r="F9" i="2"/>
  <c r="F8" i="2"/>
  <c r="F7" i="2"/>
  <c r="F6" i="2"/>
  <c r="F5" i="2"/>
  <c r="B8" i="1"/>
  <c r="C3" i="1"/>
  <c r="F42" i="3" l="1"/>
  <c r="F98" i="2"/>
  <c r="F71" i="2"/>
  <c r="F50" i="2"/>
  <c r="F24" i="2"/>
</calcChain>
</file>

<file path=xl/sharedStrings.xml><?xml version="1.0" encoding="utf-8"?>
<sst xmlns="http://schemas.openxmlformats.org/spreadsheetml/2006/main" count="1569" uniqueCount="716">
  <si>
    <t>Mojave Sphinx Bill of Materials</t>
  </si>
  <si>
    <t>Associated With</t>
  </si>
  <si>
    <t>Revision</t>
  </si>
  <si>
    <t>HCR-5100 (R01)</t>
  </si>
  <si>
    <t>Release Date</t>
  </si>
  <si>
    <t>HCR-5101</t>
  </si>
  <si>
    <t>Line</t>
  </si>
  <si>
    <t>Item</t>
  </si>
  <si>
    <t>Unit Price</t>
  </si>
  <si>
    <t>QTY</t>
  </si>
  <si>
    <t>Cost</t>
  </si>
  <si>
    <t>Context</t>
  </si>
  <si>
    <t>PN</t>
  </si>
  <si>
    <t>Vendor Description</t>
  </si>
  <si>
    <t>Source</t>
  </si>
  <si>
    <t>6061 Aluminum Round 4"D X 1/2"L</t>
  </si>
  <si>
    <t>Tank Bulkheads</t>
  </si>
  <si>
    <t>6061 Aluminum Round 4"D X 3"L</t>
  </si>
  <si>
    <t>Tank Piston</t>
  </si>
  <si>
    <t>6061 Aluminum Tube 4"D X 1/8"W X 36"L</t>
  </si>
  <si>
    <t>Tank Casing</t>
  </si>
  <si>
    <t>6061 Aluminum Tube 4"OD X 1/2"W X 3"L</t>
  </si>
  <si>
    <t>Bolted Tank Rings</t>
  </si>
  <si>
    <t>-238 Buna-N O-Rings (Pack of 50)</t>
  </si>
  <si>
    <t>Tank/Piston Seals</t>
  </si>
  <si>
    <t>5/16-24 X 1/2" Button Head Screw (Pack of 25)</t>
  </si>
  <si>
    <t>Tank Bolts</t>
  </si>
  <si>
    <t>5/16-24 Offset Narrow Base Weld Nut (Pack of 25)</t>
  </si>
  <si>
    <t>Tank Bolt Nuts</t>
  </si>
  <si>
    <t>1/4-20 X 7/8 Button Head Hex Drive Screws (Pack of 50)</t>
  </si>
  <si>
    <t>Fwd Bulkhead Recovery Anchors, Fin Brackets, Airframe</t>
  </si>
  <si>
    <t>1/4-20 Coupling Nut</t>
  </si>
  <si>
    <t>Fwd Bulkhead Recovery Anchors</t>
  </si>
  <si>
    <t>Sealing Washers for 1/4" Screw, 0.5" OD (Pack of 10)</t>
  </si>
  <si>
    <t>Ultra-Low-Profile Socket Head Screw Alloy Steel, 1/4"-20 Thread Size, 1/2" Long</t>
  </si>
  <si>
    <t>Propellant Piston Extraction</t>
  </si>
  <si>
    <t>Spacer, for 5/16”, 5/8” OD x 1/2" Long</t>
  </si>
  <si>
    <t>Bushing for Tank Drill Jig</t>
  </si>
  <si>
    <t>Propellant Tank Casing</t>
  </si>
  <si>
    <t>Machined</t>
  </si>
  <si>
    <t>Fuel Tank Bulkhead</t>
  </si>
  <si>
    <t>Oxidizer Tank Bulkhead</t>
  </si>
  <si>
    <t>Propellant Piston</t>
  </si>
  <si>
    <t>Interface Ring</t>
  </si>
  <si>
    <t>Nut Retaining Ring</t>
  </si>
  <si>
    <t>Printed</t>
  </si>
  <si>
    <t>Propellant Tank Drill Jig</t>
  </si>
  <si>
    <t>1610T37-1610T134</t>
  </si>
  <si>
    <t>https://www.mcmaster.com/1610T37-1610T134/</t>
  </si>
  <si>
    <t>1610T37-1610T33</t>
  </si>
  <si>
    <t>https://www.mcmaster.com/1610T37-1610T33/</t>
  </si>
  <si>
    <t>9056K42-9056K423</t>
  </si>
  <si>
    <t>https://www.mcmaster.com/9056K42-9056K423/</t>
  </si>
  <si>
    <t>7392T17-7392T173</t>
  </si>
  <si>
    <t>https://www.mcmaster.com/7392T17-7392T173/</t>
  </si>
  <si>
    <t>9452K226</t>
  </si>
  <si>
    <t>https://www.mcmaster.com/9452K226/</t>
  </si>
  <si>
    <t>91255A378</t>
  </si>
  <si>
    <t>https://www.mcmaster.com/91255A378/</t>
  </si>
  <si>
    <t>94579A550</t>
  </si>
  <si>
    <t>https://www.mcmaster.com/94579A550/</t>
  </si>
  <si>
    <t>91306A279</t>
  </si>
  <si>
    <t>https://www.mcmaster.com/91306A279/</t>
  </si>
  <si>
    <t>90264A435</t>
  </si>
  <si>
    <t>https://www.mcmaster.com/90264A435/</t>
  </si>
  <si>
    <t>91367A952</t>
  </si>
  <si>
    <t>https://www.mcmaster.com/91367A952/</t>
  </si>
  <si>
    <t>90357A013</t>
  </si>
  <si>
    <t>https://www.mcmaster.com/90357A013/</t>
  </si>
  <si>
    <t>93320A215</t>
  </si>
  <si>
    <t>https://www.mcmaster.com/93320A215/</t>
  </si>
  <si>
    <t>TANK-36L-047V2X8X313C</t>
  </si>
  <si>
    <t>-</t>
  </si>
  <si>
    <t>Made from 9056K423</t>
  </si>
  <si>
    <t>BKHD-FL-O238-4NPT2X250C</t>
  </si>
  <si>
    <t>Made from 1610T134</t>
  </si>
  <si>
    <t>BKHD-OX-O238–8NPT4NPT</t>
  </si>
  <si>
    <t>PSTN-2XO238-250T20</t>
  </si>
  <si>
    <t>Made from 1610T33</t>
  </si>
  <si>
    <t>INRG-200S-8X3125C8X250C</t>
  </si>
  <si>
    <t>Made from 7392T173</t>
  </si>
  <si>
    <t>NTRG-45C20D-200E</t>
  </si>
  <si>
    <t>Made from printer filament</t>
  </si>
  <si>
    <t>DRLJG-TANK-8X625OD-BSHNG</t>
  </si>
  <si>
    <t>Multipurpose 6061 Aluminum 4" Diameter (1/2 in)</t>
  </si>
  <si>
    <t>Multipurpose 6061 Aluminum 4" Diameter (3 in)</t>
  </si>
  <si>
    <t>Multipurpose 6061 Aluminum Round Tube 1/8" Wall Thickness, 4" OD (3 ft)</t>
  </si>
  <si>
    <t>Multipurpose 6061 Aluminum Round Tube 1/4" Wall Thickness, 4" OD (3 in)</t>
  </si>
  <si>
    <t>Oil-Resistant Buna-N O-Ring 1/8 Fractional Width, Dash Number 238</t>
  </si>
  <si>
    <t>Button Head Hex Drive Screw Black-Oxide Alloy Steel, 5/16"-24 Thread, 1/2" Long</t>
  </si>
  <si>
    <t>Steel Offset-Barrel Narrow-Base Weld Nut 5/16"-24 Thread Size</t>
  </si>
  <si>
    <t>Button Head Hex Drive Screws Zinc-Plated Alloy Steel, 1/4"-20 Thread, 7/8" Long</t>
  </si>
  <si>
    <t>Zinc-Plated Steel Coupling Nut Low-Strength, 1/4"-20 Thread Size</t>
  </si>
  <si>
    <t>Chemical-Resistant Fluorosilicone Sealing Washer for 1/4" Screw Size,.230" ID,.5" OD,.052" to .072" Thick</t>
  </si>
  <si>
    <t>Polished Unthreaded Spacers 5/8" OD, 1/2" Long, for 5/16" Screw Size</t>
  </si>
  <si>
    <t>Propellant Tank</t>
  </si>
  <si>
    <t>Subtotal</t>
  </si>
  <si>
    <t/>
  </si>
  <si>
    <t>A1</t>
  </si>
  <si>
    <t>A2</t>
  </si>
  <si>
    <t>Fluid System</t>
  </si>
  <si>
    <t>Aluminum Pipe Nipple, 1/4NPT, 4"L</t>
  </si>
  <si>
    <t>Brass High Pressure Elbow Fitting, M/F, 1/4NPT</t>
  </si>
  <si>
    <t>High-Pressure Brass Straight Reducer, 1/4 x 1/8 NPT Male</t>
  </si>
  <si>
    <t>High-Pressure Brass Elbow Connector, 1/8 NPT Female</t>
  </si>
  <si>
    <t>37 Degree Flared Adapter for 5/16" Tube OD, 1/8 Pipe Size</t>
  </si>
  <si>
    <t>High-Pressure Braided Chemical Hose with Fittings Brass 1/2"-20 Thread Size Flare UNF Female, 3/8" OD - 42"</t>
  </si>
  <si>
    <t>High-Pressure Braided Chemical Hose with Fittings Brass 1/2"-20 Thread Size Flare UNF Female, 3/8" OD - 14"</t>
  </si>
  <si>
    <t>High-Pressure Braided Chemical Hose with Fittings Brass 9/16"-18 Thread Size Flare UNF Female, 7/16" OD – 12”</t>
  </si>
  <si>
    <t>37 Degree Flared Straight Connector for 5/16" Tube OD, 1-3/8" Long</t>
  </si>
  <si>
    <t>37 Degree Flared Adapter for 3/8" Tube OD x 1/4 NPT Male</t>
  </si>
  <si>
    <t>Nylon Tubing, 1/4" OD, 800PSI, 10ft</t>
  </si>
  <si>
    <t>Check Valve, 1/8NPT Female/Male, Brass</t>
  </si>
  <si>
    <t>Elbow, 1/8NPT, Male/Female, Brass</t>
  </si>
  <si>
    <t>Push to Connect Fitting, 1/4" Tube X 1/8NPT</t>
  </si>
  <si>
    <t>3/4" X 6" 6061-T6 Round Bar</t>
  </si>
  <si>
    <t>-007 Buna-N O-rings (Pack of 100)</t>
  </si>
  <si>
    <t>High Pressure Brass Straight adapter, 1/4NPT Female x Male</t>
  </si>
  <si>
    <t>Quick Disconnect, ¾” x ⅛” Flange, 9/32” Female Bore, 1/8 NPT</t>
  </si>
  <si>
    <t>Quick Disconnect, ¾” x ⅛” Flange, .270 Male Barb, -007 O-Ring Gland</t>
  </si>
  <si>
    <t>Quick Disconnect Clip, for ¾” x ⅛” Flange</t>
  </si>
  <si>
    <t>Tank outlets to valves</t>
  </si>
  <si>
    <t>Fuel valve outlet</t>
  </si>
  <si>
    <t>Fuel Line 42" Section</t>
  </si>
  <si>
    <t>Fuel Line 14" Section</t>
  </si>
  <si>
    <t>Ox Line</t>
  </si>
  <si>
    <t>Fuel Line Union</t>
  </si>
  <si>
    <t>Ox Valve Outlet</t>
  </si>
  <si>
    <t>Fill tube</t>
  </si>
  <si>
    <t>Fill</t>
  </si>
  <si>
    <t>Fill check to QD</t>
  </si>
  <si>
    <t>QD Stock Material</t>
  </si>
  <si>
    <t>QD Seal</t>
  </si>
  <si>
    <t>Fuel valve outler spacer</t>
  </si>
  <si>
    <t>44665K137</t>
  </si>
  <si>
    <t>https://www.mcmaster.com/44665K137/</t>
  </si>
  <si>
    <t>50785K43</t>
  </si>
  <si>
    <t>https://www.mcmaster.com/50785K43/</t>
  </si>
  <si>
    <t>5485K31</t>
  </si>
  <si>
    <t>https://www.mcmaster.com/5485K31/</t>
  </si>
  <si>
    <t>50785K35</t>
  </si>
  <si>
    <t>https://www.mcmaster.com/50785K35/</t>
  </si>
  <si>
    <t>50675K435</t>
  </si>
  <si>
    <t>https://www.mcmaster.com/50675K435/</t>
  </si>
  <si>
    <t>4468K858</t>
  </si>
  <si>
    <t>https://www.mcmaster.com/4468K812-4468K858/</t>
  </si>
  <si>
    <t>4468K031</t>
  </si>
  <si>
    <t>https://www.mcmaster.com/4468K812-4468K031/</t>
  </si>
  <si>
    <t>4468K865</t>
  </si>
  <si>
    <t>https://www.mcmaster.com/4468K813-4468K865/</t>
  </si>
  <si>
    <t>50675K135</t>
  </si>
  <si>
    <t>https://www.mcmaster.com/50675K135/</t>
  </si>
  <si>
    <t>50675K163</t>
  </si>
  <si>
    <t>https://www.mcmaster.com/50675K163/</t>
  </si>
  <si>
    <t>9685T3</t>
  </si>
  <si>
    <t>https://www.mcmaster.com/9685T3/</t>
  </si>
  <si>
    <t>7768K21</t>
  </si>
  <si>
    <t>https://www.mcmaster.com/7768K21/</t>
  </si>
  <si>
    <t>50785K41</t>
  </si>
  <si>
    <t>https://www.mcmaster.com/50785K41/</t>
  </si>
  <si>
    <t>9396T31</t>
  </si>
  <si>
    <t>https://www.mcmaster.com/9396T31/</t>
  </si>
  <si>
    <t>8974K299</t>
  </si>
  <si>
    <t>https://www.mcmaster.com/8974K11-8974K299/</t>
  </si>
  <si>
    <t>9452K15</t>
  </si>
  <si>
    <t>https://www.mcmaster.com/9452K15/</t>
  </si>
  <si>
    <t>50785K27</t>
  </si>
  <si>
    <t>https://www.mcmaster.com/50785K27/</t>
  </si>
  <si>
    <t>QDC-750X125FLG-281FB8NPT</t>
  </si>
  <si>
    <t>Made from 8974K299</t>
  </si>
  <si>
    <t>QDC-750x125FLG-270MB-O007</t>
  </si>
  <si>
    <t>QDC-750X250CLP</t>
  </si>
  <si>
    <t>Standard-Wall Aluminum Pipe Nipple Threaded on Both Ends, 1/4 NPT, 4" Long</t>
  </si>
  <si>
    <t>High-Pressure Brass Pipe Fitting 90 Degree Elbow Adapter, 1/4 NPT Female x Male</t>
  </si>
  <si>
    <t>High-Pressure Brass Pipe Fitting Straight Reducer, 1/4 x 1/8 NPT Male</t>
  </si>
  <si>
    <t>High-Pressure Brass Pipe Fitting 90 Degree Elbow Connector, 1/8 NPT Female</t>
  </si>
  <si>
    <t>37 Degree Flared Fitting for Copper Tubing Straight Adapter for 5/16" Tube OD, 1/8 Pipe Size</t>
  </si>
  <si>
    <t>High-Pressure Braided Chemical Hose with Fittings Brass 1/2"-20 Thread Size Flare UNF Female, 3/8" OD (42 in)</t>
  </si>
  <si>
    <t>High-Pressure Braided Chemical Hose with Fittings Brass 1/2"-20 Thread Size Flare UNF Female, 3/8" OD (14 in)</t>
  </si>
  <si>
    <t>High-Pressure Braided Chemical Hose with Fittings Brass 9/16"-18 Thread Size Flare UNF Female, 7/16" OD (12 in)</t>
  </si>
  <si>
    <t>37 Degree Flared Fitting for Copper Tubing Straight Connector for 5/16" Tube OD, 1-3/8" Long</t>
  </si>
  <si>
    <t>37 Degree Flared Fitting for Copper Tubing Adapter for 3/8" Tube OD x 1/4 NPT Male</t>
  </si>
  <si>
    <t>High-Pressure Hard Plastic Tubing for Air&amp;Water Nylon, Semi-Clear White, 0.15" ID, 1/4" OD (10 ft)</t>
  </si>
  <si>
    <t>Brass Threaded Check Valve with Brass Piston, 1/8 NPT Female x NPT Male</t>
  </si>
  <si>
    <t>High-Pressure Brass Pipe Fitting 90 Degree Elbow Adapter, 1/8 NPT Female x Male</t>
  </si>
  <si>
    <t>High-Pressure Push-to-Connect Tube Fitting for Air and Water, Adapter, 1/4" Tube OD x 1/8 NPTF Male</t>
  </si>
  <si>
    <t>Multipurpose 6061 Aluminum 3/4" Diameter (1/2 ft)</t>
  </si>
  <si>
    <t>Oil-Resistant Buna-N O-Ring 1/16 Fractional Width, Dash Number 007</t>
  </si>
  <si>
    <t>High-Pressure Brass Pipe Fitting Straight Adapter with Hex Body, 1/4 NPT Female x Male</t>
  </si>
  <si>
    <t>A3</t>
  </si>
  <si>
    <t>Valves</t>
  </si>
  <si>
    <t>25kg Servo w/ 25T Servo Horn (Pack of 2)</t>
  </si>
  <si>
    <t>Compact High Pressure Ball Valve, 1/4NPT</t>
  </si>
  <si>
    <t>8-32 Hex Nut, Low Strength (Pack of 100)</t>
  </si>
  <si>
    <t>M4X0.7 Hex Nut, Low Strength (Pack of 100)</t>
  </si>
  <si>
    <t>8-32 X 1/2"L Screw, Zinc Plated Steel (Pack of 100)</t>
  </si>
  <si>
    <t>M4X0.7 X 16mm Hex Head Screws, 18-8SS (Pack of 100)</t>
  </si>
  <si>
    <t>M4 Washer, 8mm OD, 18-8SS (Pack of 100)</t>
  </si>
  <si>
    <t>M4 Split Lock Washer, 18-8SS (Pack of 100)</t>
  </si>
  <si>
    <t>M3 Flat Washer, 18-8SS, 7mm OD (Pack of 100)</t>
  </si>
  <si>
    <t>M3x0.5 10mm Low Profile Socket Head Screw, 18-8SS (Pack of 25)</t>
  </si>
  <si>
    <t>3-pin Servo Extension Cables, 1m (Pack of 10)</t>
  </si>
  <si>
    <t>3-Pin Servo Y-Harness</t>
  </si>
  <si>
    <t>PLA+ 3D Printer Filament, White, 2kg (Or Equivalent)</t>
  </si>
  <si>
    <t>Servo Valve Mount</t>
  </si>
  <si>
    <t>Servo Valve Handle Connector</t>
  </si>
  <si>
    <t>Fuel/Ox valve actuators</t>
  </si>
  <si>
    <t>4112T22</t>
  </si>
  <si>
    <t>Compact High-Pressure Brass Ball Valve 2</t>
  </si>
  <si>
    <t>https://www.mcmaster.com/4112T22/</t>
  </si>
  <si>
    <t>Fuel/Ox Valves</t>
  </si>
  <si>
    <t>90480A009</t>
  </si>
  <si>
    <t>Low-Strength Steel Hex Nut 1</t>
  </si>
  <si>
    <t>https://www.mcmaster.com/90480A009/</t>
  </si>
  <si>
    <t>Valve Handle Screw</t>
  </si>
  <si>
    <t>90591A141</t>
  </si>
  <si>
    <t>Zinc-Plated Steel Hex Nut 1</t>
  </si>
  <si>
    <t>https://www.mcmaster.com/90591A141/</t>
  </si>
  <si>
    <t>Servo mount screws</t>
  </si>
  <si>
    <t>90272A194</t>
  </si>
  <si>
    <t>Zinc-Plated Steel Pan Head Phillips Screw 1</t>
  </si>
  <si>
    <t>https://www.mcmaster.com/90272A194/</t>
  </si>
  <si>
    <t>91280A044</t>
  </si>
  <si>
    <t>Medium-Strength Class 8.8 Steel Hex Head Screw 1</t>
  </si>
  <si>
    <t>https://www.mcmaster.com/91280A044/</t>
  </si>
  <si>
    <t>Servo mount screws, Avbay Sled</t>
  </si>
  <si>
    <t>98689A113</t>
  </si>
  <si>
    <t>General Purpose 18-8 Stainless Steel Washer 1</t>
  </si>
  <si>
    <t>https://www.mcmaster.com/98689A113/</t>
  </si>
  <si>
    <t>92148A160</t>
  </si>
  <si>
    <t>18-8 Stainless Steel Split Lock Washer 1</t>
  </si>
  <si>
    <t>https://www.mcmaster.com/92148A160/</t>
  </si>
  <si>
    <t>93475A210</t>
  </si>
  <si>
    <t xml:space="preserve">18-8 Stainless Steel Washer </t>
  </si>
  <si>
    <t>https://www.mcmaster.com/93475A210/</t>
  </si>
  <si>
    <t>Servo Horn Connector</t>
  </si>
  <si>
    <t>92855A310</t>
  </si>
  <si>
    <t xml:space="preserve">18-8 Stainless Steel Low-Profile Socket Head Screws </t>
  </si>
  <si>
    <t>https://www.mcmaster.com/92855A310/</t>
  </si>
  <si>
    <t>DS3225</t>
  </si>
  <si>
    <t xml:space="preserve">2Pack 25KG High Torque RC Servo Waterproof servo Compatible with 1/6, 1/8, 1/10, 1/12 RC Car, Full Metal Gear Steering Servo with 25T Servo Horn (270°) </t>
  </si>
  <si>
    <t>Servo wires</t>
  </si>
  <si>
    <t>SRV-3PIN-1MXT</t>
  </si>
  <si>
    <t xml:space="preserve">5 Pcs JR/Futaba Style Servo 1 to 2 Y Harness Leads Splitter Cable Male to Female Extension Lead Wire for RC Models Airplane 7cm </t>
  </si>
  <si>
    <t>Optional; can make by splcing extensions</t>
  </si>
  <si>
    <t>SRV-Y-HRNS</t>
  </si>
  <si>
    <t>5 Pcs JR/Futaba Style Servo 1 to 2 Y Harness Leads Splitter Cable Male to Female Extension Lead Wire for RC Models Airplane 7cm</t>
  </si>
  <si>
    <t>Valve actuator housings (NOTE: &lt;1kg required for Valves; Also used on Airframe)</t>
  </si>
  <si>
    <t>N/A</t>
  </si>
  <si>
    <t>OVERTURE PLA Plus (PLA+) Filament 1.75mm PLA Professional Toughness Enhanced PLA Roll, Cardboard Spool, Premium PLA 2kg(4.4lbs), Dimensional Accuracy Probability +/- 0.02mm (White 2-Pack)</t>
  </si>
  <si>
    <t>SABV-MOUNT-V2</t>
  </si>
  <si>
    <t>SABV-HCON-V2</t>
  </si>
  <si>
    <t>A4</t>
  </si>
  <si>
    <t>Thrust Chamber Assembly</t>
  </si>
  <si>
    <t>6061 Aluminum Round 3"D X 6"L</t>
  </si>
  <si>
    <t>6061 Aluminum Tube 3"D X 1/2"W X 6"L</t>
  </si>
  <si>
    <t>110 Copper Round Bar 1-1/2" Diameter 2" Long</t>
  </si>
  <si>
    <t>37 Degree Flared Adapter for 3/8" Tube OD x 3/8 NPT Male</t>
  </si>
  <si>
    <t>-141 Silicone O-rings (Pack of 10)</t>
  </si>
  <si>
    <t>$10.17</t>
  </si>
  <si>
    <t>Inverted External Retaining Ring for 2.5" OD</t>
  </si>
  <si>
    <t>Graphite Pipe Gasket, Size 1</t>
  </si>
  <si>
    <t>Flange Plate, Thrust Chamber, Steel, 1/4"</t>
  </si>
  <si>
    <t>Bracket, Thrust Chamber Mounting, Aluminum, 1/8"</t>
  </si>
  <si>
    <t>1/4 Washers 5/8" OD 18-8SS (Pack of 100)</t>
  </si>
  <si>
    <t>Split Lock Washer for 1/4 Screw Size (Pack of 100)</t>
  </si>
  <si>
    <t>1/4-20 Medium Strength Hex Nuts (Pack of 100)</t>
  </si>
  <si>
    <t>1/4-20 x 8"L Black Oxide Threaded on Both Ends Stud</t>
  </si>
  <si>
    <t>Low-Profile Ultra-Wd Truss Head Slotted Screw 1/4"-20 Thread, 3/4" Long</t>
  </si>
  <si>
    <t>High-Temperature Dry-Running 841 Bronze Sleeve Bearing for 1/4" Shaft Diameter and 3/8" Housing ID, 3/8" Long</t>
  </si>
  <si>
    <t>Garter Spring Hard Drawn Steel, 1.529" OD, 1.341" ID</t>
  </si>
  <si>
    <t>Injector, Basic Orifice Pattern</t>
  </si>
  <si>
    <t>Nozzle, for Throat Insert</t>
  </si>
  <si>
    <t>Combustion Chamber</t>
  </si>
  <si>
    <t>Throat Insert, Spring Retained</t>
  </si>
  <si>
    <t>Nozzle and injector stock</t>
  </si>
  <si>
    <t>Chamber Tube</t>
  </si>
  <si>
    <t>Nozzle Throat Insert</t>
  </si>
  <si>
    <t>Fuel Inlet</t>
  </si>
  <si>
    <t>Ox Inlet</t>
  </si>
  <si>
    <t>Injector Seals</t>
  </si>
  <si>
    <t>Injector Flange</t>
  </si>
  <si>
    <t>Chamber/nozzle seal</t>
  </si>
  <si>
    <t>Chamber flanges</t>
  </si>
  <si>
    <t>Chamber attachment to fin brackets</t>
  </si>
  <si>
    <t>Chamber tie rods, fins, avbay</t>
  </si>
  <si>
    <t>Chamber tie rods (NOTE: Add'l qty on Airframe)</t>
  </si>
  <si>
    <t>Scrintle Screw</t>
  </si>
  <si>
    <t>Scrintle Sleeve</t>
  </si>
  <si>
    <t>Nozzle Insert Retainer</t>
  </si>
  <si>
    <t>Alternate Source #1</t>
  </si>
  <si>
    <t>Alternate Source #2</t>
  </si>
  <si>
    <t>6061 Aluminum Round Bar (Size: 3 in, Length: 6 in)</t>
  </si>
  <si>
    <t>6061 Aluminum Round Bar (Size: 3 X 1/2 in, Length: 6 in)</t>
  </si>
  <si>
    <t>110 Copper Round Bar (Size: 1-1/2 in, Length: 2 in)</t>
  </si>
  <si>
    <t>37 Degree Flared Fitting for Copper Tubing Adapter for 3/8" Tube OD x 3/8 NPT Male</t>
  </si>
  <si>
    <t>High-Temperature High-Purity Silicone O-Ring 3/32 Fractional Width, Dash Number 141</t>
  </si>
  <si>
    <t>Inverted External Retaining Ring for 2-1/2" OD, Black-Phosphate 1060-1090 Spring Steel</t>
  </si>
  <si>
    <t>High-Temperature Graphite Gasket for ANSI Class 600, for Pipe Size 1, 1-5/16" ID</t>
  </si>
  <si>
    <t>A5</t>
  </si>
  <si>
    <t>Igniter</t>
  </si>
  <si>
    <t>https://www.midweststeelsupply.com/store/6061aluminumroundbar</t>
  </si>
  <si>
    <t>61ARB3</t>
  </si>
  <si>
    <t>61ARDT3500</t>
  </si>
  <si>
    <t>https://www.midweststeelsupply.com/store/6061aluminumroundtube</t>
  </si>
  <si>
    <t>https://www.midweststeelsupply.com/store/110copperroundbar</t>
  </si>
  <si>
    <t>CRB112</t>
  </si>
  <si>
    <t>50675K164</t>
  </si>
  <si>
    <t>https://www.mcmaster.com/50675K164/</t>
  </si>
  <si>
    <t>9396K79</t>
  </si>
  <si>
    <t>https://www.mcmaster.com/9396K79/</t>
  </si>
  <si>
    <t>90213A101</t>
  </si>
  <si>
    <t>https://www.mcmaster.com/90213A101/</t>
  </si>
  <si>
    <t>https://www.mcmaster.com/8974K82-1610T41/</t>
  </si>
  <si>
    <t>https://www.mcmaster.com/9103K9-9103K93/</t>
  </si>
  <si>
    <t>94095K114</t>
  </si>
  <si>
    <t>https://www.mcmaster.com/94095K114/</t>
  </si>
  <si>
    <t>FLNG-ST-25T-8X250C</t>
  </si>
  <si>
    <t>https://sendcutsend.com/</t>
  </si>
  <si>
    <t>BRKT-90A-125T-2X250C</t>
  </si>
  <si>
    <t>91102A750</t>
  </si>
  <si>
    <t>Zinc-Plated Steel Split Lock Washer for 1/4" Screw Size, 0.26" ID, 0.487" OD</t>
  </si>
  <si>
    <t>https://www.mcmaster.com/91102A750/</t>
  </si>
  <si>
    <t>95505A601</t>
  </si>
  <si>
    <t>Medium-Strength Steel Hex Nut Grade 5, 1/4"-20 Thread Size</t>
  </si>
  <si>
    <t>https://www.mcmaster.com/95505A601/</t>
  </si>
  <si>
    <t>90281A102</t>
  </si>
  <si>
    <t>Black-Oxide Steel Threaded on Both Ends Stud 1/4"-20 Thread Size, 8" Long, 1" Long Threads</t>
  </si>
  <si>
    <t>https://www.mcmaster.com/90281A102/</t>
  </si>
  <si>
    <t>90015A410</t>
  </si>
  <si>
    <t>https://www.mcmaster.com/90015A410/</t>
  </si>
  <si>
    <t>9368T14</t>
  </si>
  <si>
    <t>https://www.mcmaster.com/9368T14/</t>
  </si>
  <si>
    <t>8284N57</t>
  </si>
  <si>
    <t>https://www.mcmaster.com/8284N57/</t>
  </si>
  <si>
    <t>INJC-2X8NPT-38NPT-250T20-2XO230-BASIC</t>
  </si>
  <si>
    <t>Made from 61ARB3</t>
  </si>
  <si>
    <t>NZZL-45C20D-200E</t>
  </si>
  <si>
    <t>CMBR-200DI-250B-525L</t>
  </si>
  <si>
    <t>Made from 61ARDT3500</t>
  </si>
  <si>
    <t>THRT-45C20D-100T</t>
  </si>
  <si>
    <t>Made from CRB112</t>
  </si>
  <si>
    <t>92141A029</t>
  </si>
  <si>
    <t>18-8 Stainless Steel Washer for 1/4" Screw Size, 0.281" ID, 0.625" OD</t>
  </si>
  <si>
    <t>https://www.mcmaster.com/92141A029/</t>
  </si>
  <si>
    <t>Thick-Wall Pipe Nipple, 1/2NPT X 2"L, Aluminum</t>
  </si>
  <si>
    <t>1/2NPT Cap, Brass</t>
  </si>
  <si>
    <t>1/2NPT Coupling, Brass</t>
  </si>
  <si>
    <t>NPT Bushing, 1/2 Male X 1/8 Female, Brass</t>
  </si>
  <si>
    <t>Pipe Nipple, 1/8NPT X 2"L, Brass</t>
  </si>
  <si>
    <t>High-Pressure Brass Pipe Fitting Straight Adapter with Hex Body, 1/8 NPT Female x Male</t>
  </si>
  <si>
    <t>High-Pressure Brass Pipe Straight Connector, 1/8 NPT Male</t>
  </si>
  <si>
    <t>High-Pressure Brass Straight Connector with Hex Body, 1/8 NPT Female</t>
  </si>
  <si>
    <t>Cartridge body</t>
  </si>
  <si>
    <t>Cartridge cap</t>
  </si>
  <si>
    <t>Cartridge bottom</t>
  </si>
  <si>
    <t>Cartridge outlet</t>
  </si>
  <si>
    <t>Igniter inlet</t>
  </si>
  <si>
    <t>2155K18</t>
  </si>
  <si>
    <t>Thick-Wall Aluminum Pipe Nipple https://www.mcmaster.com/50785K164/</t>
  </si>
  <si>
    <t>https://www.mcmaster.com/2155K18/</t>
  </si>
  <si>
    <t>50785K164</t>
  </si>
  <si>
    <t>High-Pressure Brass Pipe Fitting https://www.mcmaster.com/4429K421/</t>
  </si>
  <si>
    <t>https://www.mcmaster.com/50785K164/</t>
  </si>
  <si>
    <t>50785K94</t>
  </si>
  <si>
    <t>High-Pressure Brass Pipe Fitting https://www.mcmaster.com/50785K25/</t>
  </si>
  <si>
    <t>https://www.mcmaster.com/50785K94/</t>
  </si>
  <si>
    <t>4429K421</t>
  </si>
  <si>
    <t>Low-Pressure Brass Threaded Pipe Fitting https://www.mcmaster.com/50785K91/</t>
  </si>
  <si>
    <t>https://www.mcmaster.com/4429K421/</t>
  </si>
  <si>
    <t>50785K171</t>
  </si>
  <si>
    <t>High-Pressure Brass Pipe Fitting 0</t>
  </si>
  <si>
    <t>https://www.mcmaster.com/50785K171/</t>
  </si>
  <si>
    <t>50785K25</t>
  </si>
  <si>
    <t>https://www.mcmaster.com/50785K25/</t>
  </si>
  <si>
    <t>5485K21</t>
  </si>
  <si>
    <t>https://www.mcmaster.com/5485K21/</t>
  </si>
  <si>
    <t>50785K91</t>
  </si>
  <si>
    <t>https://www.mcmaster.com/50785K91/</t>
  </si>
  <si>
    <t>A6</t>
  </si>
  <si>
    <t>Airframe</t>
  </si>
  <si>
    <t>Nose Cone Shoulder, 4X 1/4" Rod Sleeves, for 8X 8-32 Hex Nuts with Clearance Holes</t>
  </si>
  <si>
    <t>Nose Cone, Section 1, 4X 1/4" Rod Sleeves</t>
  </si>
  <si>
    <t>Nose Cone, Section 2, 4X 1/4" Rod Sleeves</t>
  </si>
  <si>
    <t>Nose Cone, Tip, 4X 1/4" Rod Sleeves, 1/4" Clearance Hole with Hex Nut Capture</t>
  </si>
  <si>
    <t>1/4-20 Nylon Threaded Rod, 24"L</t>
  </si>
  <si>
    <t>Cadmium-Plated Steel MIL. Spec. Washer for 1/4" Screw Size, NAS 1149-F0432P</t>
  </si>
  <si>
    <t>Galvanized Steel Eyebolt with Nut and with Shoulder, for Lifting, 1/4"-20 Thread Size, 1-1/2" Thread Length, 3" Shank</t>
  </si>
  <si>
    <t>316 Stainless Steel Cap Nut, 1/4"-20 Thread Size</t>
  </si>
  <si>
    <t>Airframe - 4" Mailing Tube, 36"L</t>
  </si>
  <si>
    <t>Avionics Bay Coupler, Half, 3.994” OD, Printed</t>
  </si>
  <si>
    <t>Avionics Bay Switch Band, 4.16” OD, Printed</t>
  </si>
  <si>
    <t>U-Bolt with Mounting Plate, Galvanized, 1/4"-20 Thread Size, 1" ID</t>
  </si>
  <si>
    <t>1/4-20 X 10"L Threaded Rod, B7 Medium Strength</t>
  </si>
  <si>
    <t>Aluminum Angle, 1" X 1" X 1/8" X 24"L</t>
  </si>
  <si>
    <t>Spacer, Fin Bracket to Tank</t>
  </si>
  <si>
    <t>1/4" x 12" x 24" Birch Plywood</t>
  </si>
  <si>
    <t>5/16-24 X 7/8" Button Head Screws (Pack of 10)</t>
  </si>
  <si>
    <t>Aluminum Foil Tape, Acrylic Adhesive, 2" Wide, 15 Feet Length, 0.005" Thick</t>
  </si>
  <si>
    <t>18-8 Stainless Steel Flanged Button Head Screw, 1/4"-20 Thread, 1-1/4" Long (Pack of 5)</t>
  </si>
  <si>
    <t>Rail Button, 1515, Printed, Part A</t>
  </si>
  <si>
    <t>Rail Button, 1515, Printed, Part B</t>
  </si>
  <si>
    <t>Lower Airframe Template</t>
  </si>
  <si>
    <t>Upper Airframe Template</t>
  </si>
  <si>
    <t>Upper Airframe Backing Plug</t>
  </si>
  <si>
    <t>Fin Bracket Template, Aft</t>
  </si>
  <si>
    <t>Fin Bracket Template, Forward</t>
  </si>
  <si>
    <t>NSCN-SLDR-4X250R8X832HNC</t>
  </si>
  <si>
    <t>NSCN-SC1-4X250R</t>
  </si>
  <si>
    <t>NSCN-SC2-4X250R</t>
  </si>
  <si>
    <t>NSCN-TIP-4X250R250HNC</t>
  </si>
  <si>
    <t>98831A028</t>
  </si>
  <si>
    <t>Nylon Threaded Rod 1/4"-20 Thread Size, 2 Feet Long (White)</t>
  </si>
  <si>
    <t>https://www.mcmaster.com/98831A360-98831A028/</t>
  </si>
  <si>
    <t>95229A420</t>
  </si>
  <si>
    <t>https://www.mcmaster.com/95229A420/</t>
  </si>
  <si>
    <t>3018T23</t>
  </si>
  <si>
    <t>Galvanized Steel Eyebolt with Nut and with Shoulder for Lifting, 1/4"-20 Thread Size, 1-1/2" Thread Length, 3" Shank</t>
  </si>
  <si>
    <t>https://www.mcmaster.com/3018T23/</t>
  </si>
  <si>
    <t>92994A029</t>
  </si>
  <si>
    <t>316 Stainless Steel Cap Nut Super-Corrosion-Resistant, 1/4"-20 Thread Size</t>
  </si>
  <si>
    <t>https://www.mcmaster.com/92994A029/</t>
  </si>
  <si>
    <t>20545T38</t>
  </si>
  <si>
    <t>Round Shipping Tube with Press-on End Caps, 4" ID, 36" Inside Length</t>
  </si>
  <si>
    <t>https://www.mcmaster.com/20545T38/</t>
  </si>
  <si>
    <t>AVBY-HF-3994</t>
  </si>
  <si>
    <t>AVBY-SB-4160</t>
  </si>
  <si>
    <t>3043T643</t>
  </si>
  <si>
    <t>U-Bolt with Mounting Plate, Zinc-Plated Steel, 1/4"-20 Thread Size, 1" ID</t>
  </si>
  <si>
    <t>https://www.mcmaster.com/3043T643/</t>
  </si>
  <si>
    <t>92580A328</t>
  </si>
  <si>
    <t>Grade B7 Medium-Strength Steel Threaded Rod 1/4"-20 Thread Size, 10" Long</t>
  </si>
  <si>
    <t>https://www.mcmaster.com/92580A328/</t>
  </si>
  <si>
    <t>89822K402</t>
  </si>
  <si>
    <t>Multipurpose 6061 Aluminum 90 Degree Angle with Round Edge, 1/8" Thickness, 1" High x 1" Wide Outside</t>
  </si>
  <si>
    <t>https://www.mcmaster.com/8982K4-8982K402/</t>
  </si>
  <si>
    <t>1125T412</t>
  </si>
  <si>
    <t>Marine-Grade Plywood Sheet 12" x 24" x 1/4"</t>
  </si>
  <si>
    <t>https://www.mcmaster.com/1125T412/</t>
  </si>
  <si>
    <t>91255A839</t>
  </si>
  <si>
    <t>Button Head Hex Drive Screw Black-Oxide Alloy Steel, 5/16"-24 Thread, 7/8" Long</t>
  </si>
  <si>
    <t>https://www.mcmaster.com/91255A839/</t>
  </si>
  <si>
    <t>7631A82</t>
  </si>
  <si>
    <t>Foil HVAC Tape Acrylic Adhesive, 2" Wide, 15 Feet Length, 0.005" Overall Thickness</t>
  </si>
  <si>
    <t>https://www.mcmaster.com/7631A82/</t>
  </si>
  <si>
    <t>97654A620</t>
  </si>
  <si>
    <t>18-8 Stainless Steel Flanged Button Head Screw 1/4"-20 Thread, 1-1/4" Long</t>
  </si>
  <si>
    <t>https://www.mcmaster.com/97654A620/</t>
  </si>
  <si>
    <t>RLBTN-A-1515-250C</t>
  </si>
  <si>
    <t>RLBTN-B-1515-250C</t>
  </si>
  <si>
    <t>TMPLT-AF-LWR-416</t>
  </si>
  <si>
    <t>TMPLT-AF-UPR-416</t>
  </si>
  <si>
    <t>PLG-DRIL-AF-UPR-416</t>
  </si>
  <si>
    <t>TMPLT-FIN-BRKT-1X1-AFT</t>
  </si>
  <si>
    <t>TMPLT-FIN-BRKT-1X1-FWD</t>
  </si>
  <si>
    <t>SPCR-400SD-250C0313C</t>
  </si>
  <si>
    <t>3D Printed from filament on Valves BOM</t>
  </si>
  <si>
    <t>Nose Cone Tension Rods</t>
  </si>
  <si>
    <t>Nose Cone Recovery Anchor</t>
  </si>
  <si>
    <t>Nose Cone Eyebolt Nut</t>
  </si>
  <si>
    <t>.08" Wall Cardboard, White</t>
  </si>
  <si>
    <t>Coupler tension rods, Recovery Bulkhead Studs (Note: Add'l QTY on Chamber)</t>
  </si>
  <si>
    <t>Shock Cord Anchor Point</t>
  </si>
  <si>
    <t>Avbay rods</t>
  </si>
  <si>
    <t>Fin brackets</t>
  </si>
  <si>
    <t>Fins</t>
  </si>
  <si>
    <t>Fin Bracket Attachment to Tank</t>
  </si>
  <si>
    <t>Coupler Shimming</t>
  </si>
  <si>
    <t>Rail Button Screws</t>
  </si>
  <si>
    <t>A7</t>
  </si>
  <si>
    <t>Recovery</t>
  </si>
  <si>
    <t>EGTMR-QRK</t>
  </si>
  <si>
    <t>Eggtimer Quark Deployment Controller</t>
  </si>
  <si>
    <t>http://eggtimerrocketry.com/home/altimeters-av-bay/</t>
  </si>
  <si>
    <t>CNPY-CHT-86IN</t>
  </si>
  <si>
    <t>Hikeman Hexagonal Tent Footprint,1-4 Person Ultralight Waterproof Tent Tarp Ground Sheet Mat with 6 Tent Stakes for Camping Hiking Picnic Backpacking (Medium)</t>
  </si>
  <si>
    <t>https://www.amazon.com/</t>
  </si>
  <si>
    <t>CRD-KVLR-250LB</t>
  </si>
  <si>
    <t>emma kites 100% Kevlar Braided String Utility Cord Abrasion Flame Resistant, Tactical Survival Fishing Assist Cord Model Rocket Paracord Trip Line Camping Cordage</t>
  </si>
  <si>
    <t>REC-CHT-DRG-36</t>
  </si>
  <si>
    <t>36in Topflight Chute</t>
  </si>
  <si>
    <t>https://www.csrocketry.com/recovery-supplies/top-flight-recovery/standard-parachutes/36in-topflight-chute.html</t>
  </si>
  <si>
    <t>REC-TNSC-3KLB</t>
  </si>
  <si>
    <t>5/8" Yellow Tubular Nylon (50 ft)</t>
  </si>
  <si>
    <t>https://www.csrocketry.com/recovery-supplies/hardware-and-shock-chord/kevlar-and-nylon-shock-chord/5/8-yellow-tubular-nylon.html</t>
  </si>
  <si>
    <t>REC-PRT-16</t>
  </si>
  <si>
    <t>16" SkyAngle Chute Protector</t>
  </si>
  <si>
    <t>https://www.csrocketry.com/recovery-supplies/skyangle/protectors/16-skyangle-chute-protector.html</t>
  </si>
  <si>
    <t>AVBY-SLD-225X600- 6XM4C</t>
  </si>
  <si>
    <t>Made from printer filament + plywood</t>
  </si>
  <si>
    <t>BKHD-REC-399-250C-2X170WE</t>
  </si>
  <si>
    <t>AVBY-CR-4R</t>
  </si>
  <si>
    <t>AVBY-MT-250R-M4C</t>
  </si>
  <si>
    <t>AVBY-BH-2X9V250R-M4C</t>
  </si>
  <si>
    <t>93505A211</t>
  </si>
  <si>
    <t>Male-Female Threaded Hex Standoff Aluminum, 3/16" Hex Size, 1/4" Long, 2-56 Thread Size</t>
  </si>
  <si>
    <t>https://www.mcmaster.com/93505A211/</t>
  </si>
  <si>
    <t>91755A200</t>
  </si>
  <si>
    <t>Self-Retaining Washer for # 2 &amp; M2 Size, 0.115" ID, 0.203" OD, 0.022"-0.042" Thick</t>
  </si>
  <si>
    <t>https://www.mcmaster.com/91755A152-91755A200/</t>
  </si>
  <si>
    <t>94735A707</t>
  </si>
  <si>
    <t>Nylon Pan Head Screws Phillips, 2-56 Thread, 1/4" Long</t>
  </si>
  <si>
    <t>https://www.mcmaster.com/93135A013/</t>
  </si>
  <si>
    <t>7712K511</t>
  </si>
  <si>
    <t>Battery Holder 1 9V Battery, T-Shape with Single Layout, 1.04" Long</t>
  </si>
  <si>
    <t>https://www.mcmaster.com/7712K511/</t>
  </si>
  <si>
    <t>9V-BATT</t>
  </si>
  <si>
    <t>9 Volt Battery</t>
  </si>
  <si>
    <t>Retail Store</t>
  </si>
  <si>
    <t>8947T26</t>
  </si>
  <si>
    <t>Oval-Shaped Threaded Connecting Link Type 316 Stainless Steel, 1/4" Thickness, 5/16" Opening, Not for Lifting</t>
  </si>
  <si>
    <t>https://www.mcmaster.com/8947T26/</t>
  </si>
  <si>
    <t>20GA-RBP</t>
  </si>
  <si>
    <t>20 Gauge Wire 20 feet Silicone Wire Soft and Flexible Tinned Copper Wire High Temperature Resistance 10 ft Black and 10 ft Red Stranded Wire for 3D Printer, Test Leads, RC Applications</t>
  </si>
  <si>
    <t>https://www.perfectflitedirect.com/stratologgercf-altimeter/</t>
  </si>
  <si>
    <t>https://www.missileworks.com/rrc3</t>
  </si>
  <si>
    <t>http://www.topflightrecoveryllc.com/page1.html</t>
  </si>
  <si>
    <t>https://www.strapworks.com/58-inch-blue-water-tubular-hot-orange</t>
  </si>
  <si>
    <t>http://www.topflightrecoveryllc.com/page3.html</t>
  </si>
  <si>
    <t>Eggtimer Quark Dual Deploy Altimeter Kit</t>
  </si>
  <si>
    <t>7.2ft Hexagonal Tent Tarp, Main Chute Canopy</t>
  </si>
  <si>
    <t>250lb Kevlar Cord, 100ft</t>
  </si>
  <si>
    <t>Drogue Parachute, 36” Diameter</t>
  </si>
  <si>
    <t>Tubular Nylon Shock Cord, 3000lbf Breaking Strength</t>
  </si>
  <si>
    <t>Parachute Protector, Nomex, 16 X 16”</t>
  </si>
  <si>
    <t>Avionics Bay Sled, Plywood, 2.25” X 6.00”, 6X M4 Clearance Holes</t>
  </si>
  <si>
    <t>Bulkhead, Recovery/Avionics Bay, 3.99” OD, 4X 1/4" Clearance Holes</t>
  </si>
  <si>
    <t>Avionics Bay Bulkhead Centering Ring, for 4-Rod Coupler</t>
  </si>
  <si>
    <t>Avionics Bay Sled Mount, for .25” Rods, M4 Clearance Holes</t>
  </si>
  <si>
    <t>Avionics Bay Battery Holder, 2X 9V Batteries, for .25” Rods, M4 Clearance Holes</t>
  </si>
  <si>
    <t>Hex Standoffs, 2-56, Aluminum</t>
  </si>
  <si>
    <t>Nylon Washers, #2 Screw Size</t>
  </si>
  <si>
    <t>Nylon Pan Head Screws, Phillips, 2-56 Thread, 1/4" Long</t>
  </si>
  <si>
    <t>9V Battery Connector</t>
  </si>
  <si>
    <t>9V Alkaline Batteries (Pack of 2)</t>
  </si>
  <si>
    <t>Quick Link 1400lb Capacity</t>
  </si>
  <si>
    <t>20GA Silicone Coated Wire, Red &amp; Black, 10ft Each</t>
  </si>
  <si>
    <t>Deployment controller</t>
  </si>
  <si>
    <t>Alternate main chute canopy (saves $55.94)</t>
  </si>
  <si>
    <t>Main chute canopy shroud lines</t>
  </si>
  <si>
    <t>Drogue chute</t>
  </si>
  <si>
    <t>Shock cord</t>
  </si>
  <si>
    <t>Main and Drogue Chute Protector</t>
  </si>
  <si>
    <t>Avbay sled</t>
  </si>
  <si>
    <t>Avbay bulkheads, recovery bulkhead</t>
  </si>
  <si>
    <t>Avbay centering rings</t>
  </si>
  <si>
    <t>Avbay sled mount</t>
  </si>
  <si>
    <t>Avbay battery holder</t>
  </si>
  <si>
    <t>Altimeter mounting</t>
  </si>
  <si>
    <t>Altimeter Insulation</t>
  </si>
  <si>
    <t>Altimeter mounting, Shear Pins, Nose Cone</t>
  </si>
  <si>
    <t>Altimeter Power</t>
  </si>
  <si>
    <t>Shock cord attachment</t>
  </si>
  <si>
    <t>Avbay wiring</t>
  </si>
  <si>
    <t>B1</t>
  </si>
  <si>
    <t>Consumables</t>
  </si>
  <si>
    <t>Nitrous Oxide</t>
  </si>
  <si>
    <t>E85</t>
  </si>
  <si>
    <t>A3-4T (4-pack)</t>
  </si>
  <si>
    <t>MJG Firewire E-matches (Pack of 20)</t>
  </si>
  <si>
    <t>Black Powder, 4F, 1lb</t>
  </si>
  <si>
    <t>Nitrile Gloves (Pack of 20)</t>
  </si>
  <si>
    <t>Vinyl Electrical Tape, 3/4" X 60ft</t>
  </si>
  <si>
    <t>Oxidizer</t>
  </si>
  <si>
    <t>Fuel</t>
  </si>
  <si>
    <t>Igniter, Ejection Charges</t>
  </si>
  <si>
    <t>Ejection charges</t>
  </si>
  <si>
    <t>Glove Fingers Used for Ejection Charges</t>
  </si>
  <si>
    <t>Ejection Charges and wire splices</t>
  </si>
  <si>
    <t>Racing shop</t>
  </si>
  <si>
    <t>Gas station</t>
  </si>
  <si>
    <t>A3-4T</t>
  </si>
  <si>
    <t>Retail hobby store</t>
  </si>
  <si>
    <t>Firewire Electric Match Bundle of 20</t>
  </si>
  <si>
    <t>https://www.csrocketry.com/recovery-supplies/ejection-supplies/firewire-electric-match.html</t>
  </si>
  <si>
    <t>Goex 4F Black Powder (1 lb)</t>
  </si>
  <si>
    <t>https://www.csrocketry.com/recovery-supplies/ejection-supplies/black-powder.html</t>
  </si>
  <si>
    <t>https://shop.hodgdon.com/pyrodex-p-pistol-powder/</t>
  </si>
  <si>
    <t>52555T644</t>
  </si>
  <si>
    <t>7619A11</t>
  </si>
  <si>
    <t>Disposable Nitrile Gloves Textured, 4 Mil Thick (Large)</t>
  </si>
  <si>
    <t>Electrical Tape 3/4" Wide, 60 Feet Long, Black</t>
  </si>
  <si>
    <t>https://www.mcmaster.com/52555T64-52555T644/</t>
  </si>
  <si>
    <t>C1</t>
  </si>
  <si>
    <t>Red Toolbox GSE</t>
  </si>
  <si>
    <t>FlySky FS-I6X Transmitter w/ iA10B Receiver</t>
  </si>
  <si>
    <t>Toggle Switch Guards (Pack of 6)</t>
  </si>
  <si>
    <t>12V 160 CCA AGM Battery</t>
  </si>
  <si>
    <t>Relay Module, PWM Controlled, 10A 30V</t>
  </si>
  <si>
    <t>12V to 5V Voltage Regulator</t>
  </si>
  <si>
    <t>GSW-17-SPST Toggle Switch with Screw Terminals</t>
  </si>
  <si>
    <t>Straight-Blade Receptacle with Screw Terminals, 5-15 NEMA, Side Terminal</t>
  </si>
  <si>
    <t>Nylon Wall Plate for NEMA Outlets</t>
  </si>
  <si>
    <t>21 Inch Steel Toolbox, Voyager, HFT</t>
  </si>
  <si>
    <t>1/4-20 x 2" Eye Bolt</t>
  </si>
  <si>
    <t>25kg Servo w/ 25T Servo Horn</t>
  </si>
  <si>
    <t>20lb Nitrous Tank</t>
  </si>
  <si>
    <t>Brass Nipple, Wrench Tighten, CGA 326, 1/4 NPT Male</t>
  </si>
  <si>
    <t>Brass Female CGA 326 Nut for High-Pressure Nipple Hose Fitting for Compressed Gas</t>
  </si>
  <si>
    <t>High-Pressure Braided Chemical Hose with Fittings Brass 7/16"-20 Thread Size Flare UNF Female, 5/16" OD – 14”</t>
  </si>
  <si>
    <t>37 Degree Flared Adapter for 1/4" Tube OD x 1/4 NPT Male</t>
  </si>
  <si>
    <t>High-Pressure Brass Straight Connector, 1/4 NPT Female</t>
  </si>
  <si>
    <t>High-Pressure Brass Through-Wall Straight Connector, 1/4 NPT Female</t>
  </si>
  <si>
    <t>3/4-16 Hex Nut, 18-8 Black Oxide</t>
  </si>
  <si>
    <t>High-Pressure Brass Right-Angle Tee Adapter, 1/4 NPT Female x Male</t>
  </si>
  <si>
    <t>High-Pressure Brass Straight Connector, 1/4NPT Male</t>
  </si>
  <si>
    <t>High-Pressure Push to Connect, 1/4 Tube OD, 1/4NPT Male</t>
  </si>
  <si>
    <t>High-Pressure Push to Connect, 1/4 Tube OD, 1/8NPT Male</t>
  </si>
  <si>
    <t>High-Pressure Brass Through-Wall Straight Connector, 1/8 NPT Female</t>
  </si>
  <si>
    <t>Pressure Gauge with Steel Case, 1/4 NPT Male Center Back Connection, 2" Dial, 0-2000 PSI</t>
  </si>
  <si>
    <t>Controller</t>
  </si>
  <si>
    <t>Switch covers</t>
  </si>
  <si>
    <t>Electrical connections</t>
  </si>
  <si>
    <t>Leftover from avbay</t>
  </si>
  <si>
    <t>Ignition switch</t>
  </si>
  <si>
    <t>Battery to receiver</t>
  </si>
  <si>
    <t>GSE Power Switch</t>
  </si>
  <si>
    <t>Electrical outlets</t>
  </si>
  <si>
    <t>outler cover; can also print version with labels</t>
  </si>
  <si>
    <t>Leftovers from Valves</t>
  </si>
  <si>
    <t>GSE Enclosure</t>
  </si>
  <si>
    <t>Battery Restraints</t>
  </si>
  <si>
    <t>Valve Actuator</t>
  </si>
  <si>
    <t>Ox FIll Valve</t>
  </si>
  <si>
    <t>INCLUDES APPROX SHIPPING COST</t>
  </si>
  <si>
    <t>Nitrous tank adapter</t>
  </si>
  <si>
    <t>Tank to Valve Hose</t>
  </si>
  <si>
    <t>Tank outlet and valve inlet</t>
  </si>
  <si>
    <t>Tank adapter to flare fitting</t>
  </si>
  <si>
    <t>Fill Bulkhead Fitting</t>
  </si>
  <si>
    <t>Bulkhead Fitting spacer nut</t>
  </si>
  <si>
    <t>Nitrous Gauge tee</t>
  </si>
  <si>
    <t>Gauge Tee to valve</t>
  </si>
  <si>
    <t>Valve to fill line</t>
  </si>
  <si>
    <t>Fill line bulkhead</t>
  </si>
  <si>
    <t>Fill line bulkhead fitting</t>
  </si>
  <si>
    <t>Supply pressure</t>
  </si>
  <si>
    <t>Leftovers from Valves (handle connector screw)</t>
  </si>
  <si>
    <t>Leftovers from Valves (servo mounting)</t>
  </si>
  <si>
    <t>QD Clip Tether / Shroud lines for tent tarp chute)</t>
  </si>
  <si>
    <t>Leftover from Fluid System Components</t>
  </si>
  <si>
    <t>Leftover from Valves (valve actuator housing)</t>
  </si>
  <si>
    <t>DTUS_FSI6X_10CH</t>
  </si>
  <si>
    <t>FLYSKY FS-i6X 10CH 2.4GHz RC Transmitter Controller/W iA10B Receiver Upgrade Cable for RC Helicopter Plane Quadcopter Glider</t>
  </si>
  <si>
    <t>AZ18080602-03</t>
  </si>
  <si>
    <t>Antrader Plastic 12mm Mount Dia. Toggle Switch Cover Dustproof Safety Waterproof Safety Flip Cover Cap Red 6-Pack</t>
  </si>
  <si>
    <t>THUNDERBOLT MAGNUM 12V 160 CCA AGM Battery</t>
  </si>
  <si>
    <t>https://www.harborfreight.com/12v-160-cca-agm-battery-62586.html</t>
  </si>
  <si>
    <t>20 Gauge Wire 20 feet Silicone Wire Soft and Flexible Tinned Copper Wire High Temperature Resistance 10 ft Black and 10 ft Red Stranded Wire for 3D Printer, Test Leads,RC Applications</t>
  </si>
  <si>
    <t>LCATMC1569</t>
  </si>
  <si>
    <t>LICHIFIT High Voltage 1CH PWM RC Aircraft Remote Control Signal Relay Switch K1 Navigation Light Controller</t>
  </si>
  <si>
    <t>090600AFA</t>
  </si>
  <si>
    <t>DROK 12v to 5v Volt Converter, DC 8-35V to 5V 3A 15W Voltage Regulator Board Power Supply Module, 9V 12V 24V Waterproof Car Volt Step Down Buck Converter</t>
  </si>
  <si>
    <t>GSW-17</t>
  </si>
  <si>
    <t>Gardner Bender GSW-17 Electrical Toggle Switch, SPST, ON-OFF, 6 A/120V AC, Screw Terminal</t>
  </si>
  <si>
    <t>7159K3</t>
  </si>
  <si>
    <t>Straight-Blade Receptaclewith Screw Terminals, 5-15 NEMA, Side Terminal</t>
  </si>
  <si>
    <t>https://www.mcmaster.com/7159K3/</t>
  </si>
  <si>
    <t>7526K23</t>
  </si>
  <si>
    <t>Nylon Wall Platefor NEMA Outlet, for 1 Device</t>
  </si>
  <si>
    <t>https://www.mcmaster.com/7526K53/</t>
  </si>
  <si>
    <t>YXQ</t>
  </si>
  <si>
    <t>YXQ 1M Servo Extension Cable 3 Pin Male to Female Lead Wire for RC Airplane (10Pcs)</t>
  </si>
  <si>
    <t>VOYAGER 21 in. Steel Toolbox</t>
  </si>
  <si>
    <t>https://www.harborfreight.com/steel-toolbox-91111.html</t>
  </si>
  <si>
    <t>9489T519</t>
  </si>
  <si>
    <t>Routing Eyebolt with Nut - Not for Lifting316 Stainless Steel with Bent-Closed Eye, 1/4"-20 Thread, 2" Shank</t>
  </si>
  <si>
    <t>https://www.mcmaster.com/9489T519/</t>
  </si>
  <si>
    <t>Compact High-Pressure Brass Ball Valvewith Lever Handle, 1/4 NPT Female</t>
  </si>
  <si>
    <t>20LBALVLV-326</t>
  </si>
  <si>
    <t>NEW 20 LB ALUMINUM N2O CYLINDER WITH HANDLE</t>
  </si>
  <si>
    <t>https://gascylindersource.com/shop/nitrous-oxide-cylinders/20-lb-aluminum-n2o-cylinder-with-handle/</t>
  </si>
  <si>
    <t>79215A673</t>
  </si>
  <si>
    <t>Hose Fitting for Compressed GasBrass Nipple, Wrench Tighten, CGA 326, 1/4 NPT Male</t>
  </si>
  <si>
    <t>https://www.mcmaster.com/79215A673/</t>
  </si>
  <si>
    <t>20KG Steering Servo, RC Servo with Full Metal Gear and 25T Servo Horn (180°)</t>
  </si>
  <si>
    <t>79215A672</t>
  </si>
  <si>
    <t>https://www.mcmaster.com/79215A672/</t>
  </si>
  <si>
    <t>4468K811</t>
  </si>
  <si>
    <t>High-Pressure Braided Chemical Hose with FittingsBrass 7/16"-20 Thread Size Flare UNF Female, 5/16" OD (14 in)</t>
  </si>
  <si>
    <t>https://www.mcmaster.com/4468K811-4468K041/</t>
  </si>
  <si>
    <t>50675K162</t>
  </si>
  <si>
    <t>37 Degree Flared Fitting for Copper TubingAdapter for 1/4" Tube OD x 1/4 NPT Male</t>
  </si>
  <si>
    <t>https://www.mcmaster.com/50675K162/</t>
  </si>
  <si>
    <t>50785K92</t>
  </si>
  <si>
    <t>High-Pressure Brass Pipe FittingStraight Connector, 1/4 NPT Female</t>
  </si>
  <si>
    <t>https://www.mcmaster.com/50785K92/</t>
  </si>
  <si>
    <t>50785K273</t>
  </si>
  <si>
    <t>High-Pressure Brass Pipe FittingThrough-Wall Straight Connector, 1/4 NPT Female</t>
  </si>
  <si>
    <t>https://www.mcmaster.com/50785K273/</t>
  </si>
  <si>
    <t>97149A370</t>
  </si>
  <si>
    <t>18-8 Stainless Steel Hex NutBlack-Oxide, 3/4"-16 Thread Size</t>
  </si>
  <si>
    <t>https://www.mcmaster.com/97149A370/</t>
  </si>
  <si>
    <t>50785K222</t>
  </si>
  <si>
    <t>High-Pressure Brass Pipe FittingRight-Angle Tee Adapter, 1/4 NPT Female x Male</t>
  </si>
  <si>
    <t>https://www.mcmaster.com/50785K222/</t>
  </si>
  <si>
    <t>5485K22</t>
  </si>
  <si>
    <t>High-Pressure Brass Pipe FittingStraight Connector, 1/4 NPT Male</t>
  </si>
  <si>
    <t>https://www.mcmaster.com/5485K22/</t>
  </si>
  <si>
    <t>9396T32</t>
  </si>
  <si>
    <t>High-Pressure Push-to-Connect Tube Fittingfor Air and Water, Adapter, 1/4" Tube OD x 1/4 NPTF Male</t>
  </si>
  <si>
    <t>https://www.mcmaster.com/9396T32/</t>
  </si>
  <si>
    <t>High-Pressure Push-to-Connect Tube Fittingfor Air and Water, Adapter, 1/4" Tube OD x 1/8 NPTF Male</t>
  </si>
  <si>
    <t>50785K272</t>
  </si>
  <si>
    <t>High-Pressure Brass Pipe FittingThrough-Wall Straight Connector, 1/8 NPT Female</t>
  </si>
  <si>
    <t>https://www.mcmaster.com/50785K272/</t>
  </si>
  <si>
    <t>3846K8</t>
  </si>
  <si>
    <t>Single Scale Pressure Gauge with Steel Case1/4 NPT Male Center Back Connection, 2" Dial (0 to 2,000 psi)</t>
  </si>
  <si>
    <t>https://www.mcmaster.com/3846K8-3846K93/</t>
  </si>
  <si>
    <t>Zinc-Plated Steel Pan Head Phillips Screw8-32 Thread, 1/2" Long</t>
  </si>
  <si>
    <t>Low-Strength Steel Hex NutZinc-Plated, 8-32 Thread Size</t>
  </si>
  <si>
    <t>General Purpose 18-8 Stainless Steel Washerfor M4 Screw Size, 4.300 mm ID, 8 mm OD</t>
  </si>
  <si>
    <t>18-8 Stainless Steel Split Lock Washerfor M4 Screw Size, Standard, 4.4 mm ID, 7.6 mm OD</t>
  </si>
  <si>
    <t>EK5580</t>
  </si>
  <si>
    <t>https://www.mcmaster.com/9056K23-9056K235/</t>
  </si>
  <si>
    <r>
      <t xml:space="preserve">This Bill of Materials (BOM) is a companion document to HCR-5100, the Mojave Sphinx Build, Integration, and Launch Guidebook. It is intended to be an easier format for referencing the book's BOM and purchasing parts.
This document, HCR-5101, is considered the source of truth for the guidebook's BOM. It is separately controlled and released, allowing Half Cat Rocketry to make corrections or updates as necessary without needing to generate a revision of HCR-5100.
</t>
    </r>
    <r>
      <rPr>
        <sz val="11"/>
        <color theme="1"/>
        <rFont val="Roboto SemiBold"/>
      </rPr>
      <t>A note on Revision 01:</t>
    </r>
    <r>
      <rPr>
        <sz val="11"/>
        <color theme="1"/>
        <rFont val="Roboto"/>
      </rPr>
      <t xml:space="preserve"> To avoid confusion between the guidebook's BOM (which does not reference this separate document, as it did not exist at the time of publication) and the BOM presented here, all descriptions and prices have been left as-shown in HCR-5100 R01, with only minor corrections to fix typos or broken links. More comprehensive updates will be introduced in the next revision, which will coincide with the release of HCR-5100 R02.
</t>
    </r>
    <r>
      <rPr>
        <sz val="11"/>
        <color theme="1"/>
        <rFont val="Roboto SemiBold"/>
      </rPr>
      <t>A note on Amazon links:</t>
    </r>
    <r>
      <rPr>
        <sz val="11"/>
        <color theme="1"/>
        <rFont val="Roboto"/>
      </rPr>
      <t xml:space="preserve"> Amazon is a large marketplace with many stores and listings that often change much faster than we can keep up with. Therefore, Amazon line items generically link to the main website rather than a specific item's page. It is intended for the purchaser to search using the provided vendor description and part number then select appropriate items.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</si>
</sst>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d\ mmm\ yyyy"/>
  </numFmts>
  <fonts count="11" x14ac:knownFonts="1">
    <font>
      <sz val="11"/>
      <color theme="1"/>
      <name val="Calibri"/>
      <family val="2"/>
      <scheme val="minor"/>
    </font>
    <font>
      <sz val="11"/>
      <color theme="1"/>
      <name val="Calibri"/>
      <family val="2"/>
      <scheme val="minor"/>
    </font>
    <font>
      <sz val="11"/>
      <color theme="1"/>
      <name val="Roboto"/>
    </font>
    <font>
      <sz val="11"/>
      <color theme="1"/>
      <name val="Roboto SemiBold"/>
    </font>
    <font>
      <sz val="11"/>
      <color theme="0"/>
      <name val="Roboto"/>
    </font>
    <font>
      <sz val="11"/>
      <color theme="0"/>
      <name val="Roboto SemiBold"/>
    </font>
    <font>
      <u/>
      <sz val="11"/>
      <color theme="10"/>
      <name val="Calibri"/>
      <family val="2"/>
      <scheme val="minor"/>
    </font>
    <font>
      <u/>
      <sz val="10"/>
      <color theme="10"/>
      <name val="Roboto"/>
    </font>
    <font>
      <sz val="10"/>
      <color theme="1"/>
      <name val="Roboto"/>
    </font>
    <font>
      <u/>
      <sz val="10"/>
      <color theme="1"/>
      <name val="Roboto"/>
    </font>
    <font>
      <sz val="10"/>
      <name val="Roboto"/>
    </font>
  </fonts>
  <fills count="6">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B71234"/>
        <bgColor indexed="64"/>
      </patternFill>
    </fill>
    <fill>
      <patternFill patternType="solid">
        <fgColor theme="0" tint="-0.14999847407452621"/>
        <bgColor indexed="64"/>
      </patternFill>
    </fill>
  </fills>
  <borders count="15">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medium">
        <color indexed="64"/>
      </right>
      <top style="medium">
        <color indexed="64"/>
      </top>
      <bottom style="thin">
        <color indexed="64"/>
      </bottom>
      <diagonal/>
    </border>
    <border>
      <left/>
      <right/>
      <top style="medium">
        <color indexed="64"/>
      </top>
      <bottom/>
      <diagonal/>
    </border>
    <border>
      <left/>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s>
  <cellStyleXfs count="3">
    <xf numFmtId="0" fontId="0" fillId="0" borderId="0"/>
    <xf numFmtId="44" fontId="1" fillId="0" borderId="0" applyFont="0" applyFill="0" applyBorder="0" applyAlignment="0" applyProtection="0"/>
    <xf numFmtId="0" fontId="6" fillId="0" borderId="0" applyNumberFormat="0" applyFill="0" applyBorder="0" applyAlignment="0" applyProtection="0"/>
  </cellStyleXfs>
  <cellXfs count="85">
    <xf numFmtId="0" fontId="0" fillId="0" borderId="0" xfId="0"/>
    <xf numFmtId="0" fontId="2" fillId="2" borderId="0" xfId="0" applyFont="1" applyFill="1"/>
    <xf numFmtId="0" fontId="3" fillId="2" borderId="0" xfId="0" applyFont="1" applyFill="1"/>
    <xf numFmtId="0" fontId="5" fillId="4" borderId="7" xfId="0" applyFont="1" applyFill="1" applyBorder="1" applyAlignment="1">
      <alignment horizontal="right"/>
    </xf>
    <xf numFmtId="0" fontId="4" fillId="4" borderId="2" xfId="0" applyFont="1" applyFill="1" applyBorder="1"/>
    <xf numFmtId="0" fontId="2" fillId="3" borderId="4" xfId="0" applyFont="1" applyFill="1" applyBorder="1" applyAlignment="1">
      <alignment horizontal="left"/>
    </xf>
    <xf numFmtId="0" fontId="2" fillId="3" borderId="6" xfId="0" applyFont="1" applyFill="1" applyBorder="1"/>
    <xf numFmtId="0" fontId="3" fillId="5" borderId="8" xfId="0" applyFont="1" applyFill="1" applyBorder="1" applyAlignment="1">
      <alignment horizontal="right"/>
    </xf>
    <xf numFmtId="0" fontId="3" fillId="5" borderId="9" xfId="0" applyFont="1" applyFill="1" applyBorder="1" applyAlignment="1">
      <alignment horizontal="right"/>
    </xf>
    <xf numFmtId="164" fontId="2" fillId="3" borderId="6" xfId="0" applyNumberFormat="1" applyFont="1" applyFill="1" applyBorder="1" applyAlignment="1">
      <alignment horizontal="left"/>
    </xf>
    <xf numFmtId="164" fontId="2" fillId="3" borderId="4" xfId="0" applyNumberFormat="1" applyFont="1" applyFill="1" applyBorder="1" applyAlignment="1">
      <alignment horizontal="left"/>
    </xf>
    <xf numFmtId="0" fontId="2" fillId="3" borderId="0" xfId="0" applyFont="1" applyFill="1"/>
    <xf numFmtId="0" fontId="3" fillId="2" borderId="0" xfId="0" applyFont="1" applyFill="1" applyAlignment="1">
      <alignment horizontal="center"/>
    </xf>
    <xf numFmtId="0" fontId="2" fillId="2" borderId="0" xfId="0" quotePrefix="1" applyFont="1" applyFill="1"/>
    <xf numFmtId="0" fontId="3" fillId="3" borderId="3" xfId="0" applyFont="1" applyFill="1" applyBorder="1" applyAlignment="1">
      <alignment horizontal="center"/>
    </xf>
    <xf numFmtId="44" fontId="2" fillId="3" borderId="0" xfId="1" applyFont="1" applyFill="1" applyBorder="1"/>
    <xf numFmtId="0" fontId="2" fillId="3" borderId="0" xfId="0" applyFont="1" applyFill="1" applyAlignment="1">
      <alignment horizontal="center"/>
    </xf>
    <xf numFmtId="0" fontId="3" fillId="5" borderId="3" xfId="0" applyFont="1" applyFill="1" applyBorder="1" applyAlignment="1">
      <alignment horizontal="center"/>
    </xf>
    <xf numFmtId="0" fontId="2" fillId="5" borderId="0" xfId="0" applyFont="1" applyFill="1"/>
    <xf numFmtId="44" fontId="2" fillId="5" borderId="0" xfId="1" applyFont="1" applyFill="1" applyBorder="1"/>
    <xf numFmtId="0" fontId="2" fillId="5" borderId="0" xfId="0" applyFont="1" applyFill="1" applyAlignment="1">
      <alignment horizontal="center"/>
    </xf>
    <xf numFmtId="0" fontId="2" fillId="3" borderId="5" xfId="0" applyFont="1" applyFill="1" applyBorder="1"/>
    <xf numFmtId="0" fontId="2" fillId="3" borderId="12" xfId="0" applyFont="1" applyFill="1" applyBorder="1"/>
    <xf numFmtId="44" fontId="3" fillId="3" borderId="12" xfId="0" applyNumberFormat="1" applyFont="1" applyFill="1" applyBorder="1"/>
    <xf numFmtId="0" fontId="5" fillId="4" borderId="13" xfId="0" applyFont="1" applyFill="1" applyBorder="1" applyAlignment="1">
      <alignment horizontal="center"/>
    </xf>
    <xf numFmtId="0" fontId="5" fillId="4" borderId="14" xfId="0" applyFont="1" applyFill="1" applyBorder="1"/>
    <xf numFmtId="0" fontId="5" fillId="4" borderId="14" xfId="0" applyFont="1" applyFill="1" applyBorder="1" applyAlignment="1">
      <alignment horizontal="center"/>
    </xf>
    <xf numFmtId="0" fontId="5" fillId="4" borderId="10" xfId="0" applyFont="1" applyFill="1" applyBorder="1"/>
    <xf numFmtId="9" fontId="3" fillId="2" borderId="0" xfId="0" applyNumberFormat="1" applyFont="1" applyFill="1" applyAlignment="1">
      <alignment horizontal="center"/>
    </xf>
    <xf numFmtId="0" fontId="7" fillId="3" borderId="4" xfId="2" applyFont="1" applyFill="1" applyBorder="1"/>
    <xf numFmtId="0" fontId="7" fillId="5" borderId="4" xfId="2" applyFont="1" applyFill="1" applyBorder="1"/>
    <xf numFmtId="0" fontId="8" fillId="3" borderId="4" xfId="0" applyFont="1" applyFill="1" applyBorder="1"/>
    <xf numFmtId="0" fontId="8" fillId="5" borderId="4" xfId="0" applyFont="1" applyFill="1" applyBorder="1"/>
    <xf numFmtId="0" fontId="0" fillId="2" borderId="0" xfId="0" applyFill="1"/>
    <xf numFmtId="0" fontId="3" fillId="3" borderId="5" xfId="0" applyFont="1" applyFill="1" applyBorder="1" applyAlignment="1">
      <alignment horizontal="center"/>
    </xf>
    <xf numFmtId="0" fontId="9" fillId="3" borderId="0" xfId="0" applyFont="1" applyFill="1"/>
    <xf numFmtId="0" fontId="9" fillId="5" borderId="0" xfId="0" applyFont="1" applyFill="1"/>
    <xf numFmtId="0" fontId="9" fillId="3" borderId="12" xfId="0" applyFont="1" applyFill="1" applyBorder="1"/>
    <xf numFmtId="0" fontId="9" fillId="3" borderId="6" xfId="1" applyNumberFormat="1" applyFont="1" applyFill="1" applyBorder="1"/>
    <xf numFmtId="0" fontId="0" fillId="2" borderId="0" xfId="0" quotePrefix="1" applyFill="1"/>
    <xf numFmtId="0" fontId="9" fillId="3" borderId="4" xfId="1" quotePrefix="1" applyNumberFormat="1" applyFont="1" applyFill="1" applyBorder="1"/>
    <xf numFmtId="0" fontId="9" fillId="5" borderId="4" xfId="1" quotePrefix="1" applyNumberFormat="1" applyFont="1" applyFill="1" applyBorder="1"/>
    <xf numFmtId="0" fontId="6" fillId="3" borderId="0" xfId="2" applyFill="1"/>
    <xf numFmtId="0" fontId="6" fillId="3" borderId="4" xfId="2" applyNumberFormat="1" applyFill="1" applyBorder="1"/>
    <xf numFmtId="0" fontId="6" fillId="5" borderId="0" xfId="2" applyFill="1"/>
    <xf numFmtId="0" fontId="2" fillId="3" borderId="0" xfId="0" applyFont="1" applyFill="1" applyAlignment="1">
      <alignment horizontal="left"/>
    </xf>
    <xf numFmtId="0" fontId="2" fillId="5" borderId="0" xfId="0" applyFont="1" applyFill="1" applyAlignment="1">
      <alignment horizontal="left"/>
    </xf>
    <xf numFmtId="0" fontId="2" fillId="3" borderId="0" xfId="0" applyFont="1" applyFill="1" applyAlignment="1">
      <alignment horizontal="left" vertical="center"/>
    </xf>
    <xf numFmtId="0" fontId="2" fillId="5" borderId="0" xfId="0" applyFont="1" applyFill="1" applyAlignment="1">
      <alignment horizontal="left" vertical="center"/>
    </xf>
    <xf numFmtId="0" fontId="3" fillId="3" borderId="3" xfId="0" applyFont="1" applyFill="1" applyBorder="1" applyAlignment="1">
      <alignment horizontal="center" vertical="center"/>
    </xf>
    <xf numFmtId="0" fontId="2" fillId="3" borderId="0" xfId="0" applyFont="1" applyFill="1" applyAlignment="1">
      <alignment vertical="center"/>
    </xf>
    <xf numFmtId="44" fontId="2" fillId="3" borderId="0" xfId="1" applyFont="1" applyFill="1" applyBorder="1" applyAlignment="1">
      <alignment vertical="center"/>
    </xf>
    <xf numFmtId="0" fontId="2" fillId="3" borderId="0" xfId="0" applyFont="1" applyFill="1" applyAlignment="1">
      <alignment horizontal="center" vertical="center"/>
    </xf>
    <xf numFmtId="0" fontId="3" fillId="5" borderId="3" xfId="0" applyFont="1" applyFill="1" applyBorder="1" applyAlignment="1">
      <alignment horizontal="center" vertical="center"/>
    </xf>
    <xf numFmtId="0" fontId="2" fillId="5" borderId="0" xfId="0" applyFont="1" applyFill="1" applyAlignment="1">
      <alignment vertical="center"/>
    </xf>
    <xf numFmtId="44" fontId="2" fillId="5" borderId="0" xfId="1" applyFont="1" applyFill="1" applyBorder="1" applyAlignment="1">
      <alignment vertical="center"/>
    </xf>
    <xf numFmtId="0" fontId="2" fillId="5" borderId="0" xfId="0" applyFont="1" applyFill="1" applyAlignment="1">
      <alignment horizontal="center" vertical="center"/>
    </xf>
    <xf numFmtId="0" fontId="2" fillId="3" borderId="5" xfId="0" applyFont="1" applyFill="1" applyBorder="1" applyAlignment="1">
      <alignment vertical="center"/>
    </xf>
    <xf numFmtId="0" fontId="2" fillId="3" borderId="12" xfId="0" applyFont="1" applyFill="1" applyBorder="1" applyAlignment="1">
      <alignment vertical="center"/>
    </xf>
    <xf numFmtId="44" fontId="3" fillId="3" borderId="12" xfId="0" applyNumberFormat="1" applyFont="1" applyFill="1" applyBorder="1" applyAlignment="1">
      <alignment vertical="center"/>
    </xf>
    <xf numFmtId="0" fontId="2" fillId="3" borderId="6" xfId="0" applyFont="1" applyFill="1" applyBorder="1" applyAlignment="1">
      <alignment vertical="center"/>
    </xf>
    <xf numFmtId="0" fontId="2" fillId="3" borderId="12" xfId="0" applyFont="1" applyFill="1" applyBorder="1" applyAlignment="1">
      <alignment horizontal="left"/>
    </xf>
    <xf numFmtId="0" fontId="6" fillId="3" borderId="4" xfId="2" applyFill="1" applyBorder="1"/>
    <xf numFmtId="0" fontId="6" fillId="5" borderId="4" xfId="2" applyFill="1" applyBorder="1"/>
    <xf numFmtId="0" fontId="10" fillId="5" borderId="4" xfId="2" applyFont="1" applyFill="1" applyBorder="1"/>
    <xf numFmtId="0" fontId="10" fillId="3" borderId="4" xfId="2" applyFont="1" applyFill="1" applyBorder="1"/>
    <xf numFmtId="0" fontId="6" fillId="3" borderId="4" xfId="2" applyFill="1" applyBorder="1" applyAlignment="1"/>
    <xf numFmtId="0" fontId="6" fillId="5" borderId="4" xfId="2" applyFill="1" applyBorder="1" applyAlignment="1"/>
    <xf numFmtId="0" fontId="10" fillId="5" borderId="4" xfId="2" applyFont="1" applyFill="1" applyBorder="1" applyAlignment="1"/>
    <xf numFmtId="0" fontId="10" fillId="3" borderId="4" xfId="2" applyFont="1" applyFill="1" applyBorder="1" applyAlignment="1"/>
    <xf numFmtId="0" fontId="6" fillId="3" borderId="4" xfId="2" applyFill="1" applyBorder="1" applyAlignment="1">
      <alignment vertical="center"/>
    </xf>
    <xf numFmtId="0" fontId="6" fillId="5" borderId="4" xfId="2" applyFill="1" applyBorder="1" applyAlignment="1">
      <alignment vertical="center"/>
    </xf>
    <xf numFmtId="0" fontId="10" fillId="5" borderId="4" xfId="2" applyFont="1" applyFill="1" applyBorder="1" applyAlignment="1">
      <alignment vertical="center"/>
    </xf>
    <xf numFmtId="0" fontId="10" fillId="3" borderId="4" xfId="2" applyFont="1" applyFill="1" applyBorder="1" applyAlignment="1">
      <alignment vertical="center"/>
    </xf>
    <xf numFmtId="0" fontId="2" fillId="3" borderId="3" xfId="0" applyFont="1" applyFill="1" applyBorder="1" applyAlignment="1">
      <alignment horizontal="left" vertical="top" wrapText="1"/>
    </xf>
    <xf numFmtId="0" fontId="2" fillId="3" borderId="0" xfId="0" applyFont="1" applyFill="1" applyAlignment="1">
      <alignment horizontal="left" vertical="top" wrapText="1"/>
    </xf>
    <xf numFmtId="0" fontId="2" fillId="3" borderId="4" xfId="0" applyFont="1" applyFill="1" applyBorder="1" applyAlignment="1">
      <alignment horizontal="left" vertical="top" wrapText="1"/>
    </xf>
    <xf numFmtId="0" fontId="2" fillId="3" borderId="5" xfId="0" applyFont="1" applyFill="1" applyBorder="1" applyAlignment="1">
      <alignment horizontal="left" vertical="top" wrapText="1"/>
    </xf>
    <xf numFmtId="0" fontId="2" fillId="3" borderId="12" xfId="0" applyFont="1" applyFill="1" applyBorder="1" applyAlignment="1">
      <alignment horizontal="left" vertical="top" wrapText="1"/>
    </xf>
    <xf numFmtId="0" fontId="2" fillId="3" borderId="6" xfId="0" applyFont="1" applyFill="1" applyBorder="1" applyAlignment="1">
      <alignment horizontal="left" vertical="top" wrapText="1"/>
    </xf>
    <xf numFmtId="0" fontId="2" fillId="3" borderId="1" xfId="0" applyFont="1" applyFill="1" applyBorder="1" applyAlignment="1">
      <alignment horizontal="left"/>
    </xf>
    <xf numFmtId="0" fontId="2" fillId="3" borderId="11" xfId="0" applyFont="1" applyFill="1" applyBorder="1" applyAlignment="1">
      <alignment horizontal="left"/>
    </xf>
    <xf numFmtId="0" fontId="2" fillId="3" borderId="2" xfId="0" applyFont="1" applyFill="1" applyBorder="1" applyAlignment="1">
      <alignment horizontal="left"/>
    </xf>
    <xf numFmtId="0" fontId="3" fillId="3" borderId="12" xfId="0" applyFont="1" applyFill="1" applyBorder="1" applyAlignment="1">
      <alignment horizontal="right"/>
    </xf>
    <xf numFmtId="0" fontId="3" fillId="3" borderId="12" xfId="0" applyFont="1" applyFill="1" applyBorder="1" applyAlignment="1">
      <alignment horizontal="right" vertical="center"/>
    </xf>
  </cellXfs>
  <cellStyles count="3">
    <cellStyle name="Currency" xfId="1" builtinId="4"/>
    <cellStyle name="Hyperlink" xfId="2" builtinId="8"/>
    <cellStyle name="Normal" xfId="0" builtinId="0"/>
  </cellStyles>
  <dxfs count="0"/>
  <tableStyles count="0" defaultTableStyle="TableStyleMedium2" defaultPivotStyle="PivotStyleLight16"/>
  <colors>
    <mruColors>
      <color rgb="FFB7123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6" Type="http://schemas.openxmlformats.org/officeDocument/2006/relationships/hyperlink" Target="https://www.mcmaster.com/8974K11-8974K299/" TargetMode="External"/><Relationship Id="rId21" Type="http://schemas.openxmlformats.org/officeDocument/2006/relationships/hyperlink" Target="https://www.mcmaster.com/50675K163/" TargetMode="External"/><Relationship Id="rId42" Type="http://schemas.openxmlformats.org/officeDocument/2006/relationships/hyperlink" Target="https://www.missileworks.com/rrc3" TargetMode="External"/><Relationship Id="rId47" Type="http://schemas.openxmlformats.org/officeDocument/2006/relationships/hyperlink" Target="https://www.midweststeelsupply.com/store/6061aluminumroundtube" TargetMode="External"/><Relationship Id="rId63" Type="http://schemas.openxmlformats.org/officeDocument/2006/relationships/hyperlink" Target="https://www.amazon.com/" TargetMode="External"/><Relationship Id="rId68" Type="http://schemas.openxmlformats.org/officeDocument/2006/relationships/hyperlink" Target="https://www.amazon.com/" TargetMode="External"/><Relationship Id="rId84" Type="http://schemas.openxmlformats.org/officeDocument/2006/relationships/hyperlink" Target="https://www.mcmaster.com/3043T643/" TargetMode="External"/><Relationship Id="rId89" Type="http://schemas.openxmlformats.org/officeDocument/2006/relationships/hyperlink" Target="https://www.mcmaster.com/7631A82/" TargetMode="External"/><Relationship Id="rId16" Type="http://schemas.openxmlformats.org/officeDocument/2006/relationships/hyperlink" Target="https://www.mcmaster.com/50675K435/" TargetMode="External"/><Relationship Id="rId11" Type="http://schemas.openxmlformats.org/officeDocument/2006/relationships/hyperlink" Target="https://www.mcmaster.com/90357A013/" TargetMode="External"/><Relationship Id="rId32" Type="http://schemas.openxmlformats.org/officeDocument/2006/relationships/hyperlink" Target="https://www.mcmaster.com/90272A194/" TargetMode="External"/><Relationship Id="rId37" Type="http://schemas.openxmlformats.org/officeDocument/2006/relationships/hyperlink" Target="https://www.mcmaster.com/92855A310/" TargetMode="External"/><Relationship Id="rId53" Type="http://schemas.openxmlformats.org/officeDocument/2006/relationships/hyperlink" Target="https://www.mcmaster.com/94095K114/" TargetMode="External"/><Relationship Id="rId58" Type="http://schemas.openxmlformats.org/officeDocument/2006/relationships/hyperlink" Target="https://www.mcmaster.com/95505A601/" TargetMode="External"/><Relationship Id="rId74" Type="http://schemas.openxmlformats.org/officeDocument/2006/relationships/hyperlink" Target="https://www.mcmaster.com/50785K171/" TargetMode="External"/><Relationship Id="rId79" Type="http://schemas.openxmlformats.org/officeDocument/2006/relationships/hyperlink" Target="https://www.mcmaster.com/95229A420/" TargetMode="External"/><Relationship Id="rId5" Type="http://schemas.openxmlformats.org/officeDocument/2006/relationships/hyperlink" Target="https://www.mcmaster.com/9452K226/" TargetMode="External"/><Relationship Id="rId90" Type="http://schemas.openxmlformats.org/officeDocument/2006/relationships/hyperlink" Target="https://www.mcmaster.com/97654A620/" TargetMode="External"/><Relationship Id="rId95" Type="http://schemas.openxmlformats.org/officeDocument/2006/relationships/hyperlink" Target="https://www.mcmaster.com/93505A211/" TargetMode="External"/><Relationship Id="rId22" Type="http://schemas.openxmlformats.org/officeDocument/2006/relationships/hyperlink" Target="https://www.mcmaster.com/9685T3/" TargetMode="External"/><Relationship Id="rId27" Type="http://schemas.openxmlformats.org/officeDocument/2006/relationships/hyperlink" Target="https://www.mcmaster.com/9452K15/" TargetMode="External"/><Relationship Id="rId43" Type="http://schemas.openxmlformats.org/officeDocument/2006/relationships/hyperlink" Target="http://www.topflightrecoveryllc.com/page1.html" TargetMode="External"/><Relationship Id="rId48" Type="http://schemas.openxmlformats.org/officeDocument/2006/relationships/hyperlink" Target="https://www.midweststeelsupply.com/store/110copperroundbar" TargetMode="External"/><Relationship Id="rId64" Type="http://schemas.openxmlformats.org/officeDocument/2006/relationships/hyperlink" Target="https://www.amazon.com/" TargetMode="External"/><Relationship Id="rId69" Type="http://schemas.openxmlformats.org/officeDocument/2006/relationships/hyperlink" Target="https://www.amazon.com/" TargetMode="External"/><Relationship Id="rId80" Type="http://schemas.openxmlformats.org/officeDocument/2006/relationships/hyperlink" Target="https://www.mcmaster.com/3018T23/" TargetMode="External"/><Relationship Id="rId85" Type="http://schemas.openxmlformats.org/officeDocument/2006/relationships/hyperlink" Target="https://www.mcmaster.com/92580A328/" TargetMode="External"/><Relationship Id="rId12" Type="http://schemas.openxmlformats.org/officeDocument/2006/relationships/hyperlink" Target="https://www.mcmaster.com/93320A215/" TargetMode="External"/><Relationship Id="rId17" Type="http://schemas.openxmlformats.org/officeDocument/2006/relationships/hyperlink" Target="https://www.mcmaster.com/4468K812-4468K858/" TargetMode="External"/><Relationship Id="rId25" Type="http://schemas.openxmlformats.org/officeDocument/2006/relationships/hyperlink" Target="https://www.mcmaster.com/9396T31/" TargetMode="External"/><Relationship Id="rId33" Type="http://schemas.openxmlformats.org/officeDocument/2006/relationships/hyperlink" Target="https://www.mcmaster.com/91280A044/" TargetMode="External"/><Relationship Id="rId38" Type="http://schemas.openxmlformats.org/officeDocument/2006/relationships/hyperlink" Target="https://www.mcmaster.com/8974K82-1610T41/" TargetMode="External"/><Relationship Id="rId46" Type="http://schemas.openxmlformats.org/officeDocument/2006/relationships/hyperlink" Target="https://www.midweststeelsupply.com/store/6061aluminumroundbar" TargetMode="External"/><Relationship Id="rId59" Type="http://schemas.openxmlformats.org/officeDocument/2006/relationships/hyperlink" Target="https://www.mcmaster.com/90281A102/" TargetMode="External"/><Relationship Id="rId67" Type="http://schemas.openxmlformats.org/officeDocument/2006/relationships/hyperlink" Target="https://www.amazon.com/" TargetMode="External"/><Relationship Id="rId20" Type="http://schemas.openxmlformats.org/officeDocument/2006/relationships/hyperlink" Target="https://www.mcmaster.com/50675K135/" TargetMode="External"/><Relationship Id="rId41" Type="http://schemas.openxmlformats.org/officeDocument/2006/relationships/hyperlink" Target="https://www.perfectflitedirect.com/stratologgercf-altimeter/" TargetMode="External"/><Relationship Id="rId54" Type="http://schemas.openxmlformats.org/officeDocument/2006/relationships/hyperlink" Target="https://sendcutsend.com/" TargetMode="External"/><Relationship Id="rId62" Type="http://schemas.openxmlformats.org/officeDocument/2006/relationships/hyperlink" Target="https://www.mcmaster.com/8284N57/" TargetMode="External"/><Relationship Id="rId70" Type="http://schemas.openxmlformats.org/officeDocument/2006/relationships/hyperlink" Target="https://www.mcmaster.com/2155K18/" TargetMode="External"/><Relationship Id="rId75" Type="http://schemas.openxmlformats.org/officeDocument/2006/relationships/hyperlink" Target="https://www.mcmaster.com/50785K25/" TargetMode="External"/><Relationship Id="rId83" Type="http://schemas.openxmlformats.org/officeDocument/2006/relationships/hyperlink" Target="https://www.mcmaster.com/90281A102/" TargetMode="External"/><Relationship Id="rId88" Type="http://schemas.openxmlformats.org/officeDocument/2006/relationships/hyperlink" Target="https://www.mcmaster.com/91255A839/" TargetMode="External"/><Relationship Id="rId91" Type="http://schemas.openxmlformats.org/officeDocument/2006/relationships/hyperlink" Target="https://www.csrocketry.com/recovery-supplies/top-flight-recovery/standard-parachutes/36in-topflight-chute.html" TargetMode="External"/><Relationship Id="rId96" Type="http://schemas.openxmlformats.org/officeDocument/2006/relationships/hyperlink" Target="https://www.mcmaster.com/91755A152-91755A200/" TargetMode="External"/><Relationship Id="rId1" Type="http://schemas.openxmlformats.org/officeDocument/2006/relationships/hyperlink" Target="https://www.mcmaster.com/1610T37-1610T134/" TargetMode="External"/><Relationship Id="rId6" Type="http://schemas.openxmlformats.org/officeDocument/2006/relationships/hyperlink" Target="https://www.mcmaster.com/91255A378/" TargetMode="External"/><Relationship Id="rId15" Type="http://schemas.openxmlformats.org/officeDocument/2006/relationships/hyperlink" Target="https://www.mcmaster.com/50785K35/" TargetMode="External"/><Relationship Id="rId23" Type="http://schemas.openxmlformats.org/officeDocument/2006/relationships/hyperlink" Target="https://www.mcmaster.com/7768K21/" TargetMode="External"/><Relationship Id="rId28" Type="http://schemas.openxmlformats.org/officeDocument/2006/relationships/hyperlink" Target="https://www.mcmaster.com/50785K27/" TargetMode="External"/><Relationship Id="rId36" Type="http://schemas.openxmlformats.org/officeDocument/2006/relationships/hyperlink" Target="https://www.mcmaster.com/93475A210/" TargetMode="External"/><Relationship Id="rId49" Type="http://schemas.openxmlformats.org/officeDocument/2006/relationships/hyperlink" Target="https://www.mcmaster.com/50675K435/" TargetMode="External"/><Relationship Id="rId57" Type="http://schemas.openxmlformats.org/officeDocument/2006/relationships/hyperlink" Target="https://www.mcmaster.com/91102A750/" TargetMode="External"/><Relationship Id="rId10" Type="http://schemas.openxmlformats.org/officeDocument/2006/relationships/hyperlink" Target="https://www.mcmaster.com/91367A952/" TargetMode="External"/><Relationship Id="rId31" Type="http://schemas.openxmlformats.org/officeDocument/2006/relationships/hyperlink" Target="https://www.mcmaster.com/90591A141/" TargetMode="External"/><Relationship Id="rId44" Type="http://schemas.openxmlformats.org/officeDocument/2006/relationships/hyperlink" Target="https://www.strapworks.com/58-inch-blue-water-tubular-hot-orange" TargetMode="External"/><Relationship Id="rId52" Type="http://schemas.openxmlformats.org/officeDocument/2006/relationships/hyperlink" Target="https://www.mcmaster.com/90213A101/" TargetMode="External"/><Relationship Id="rId60" Type="http://schemas.openxmlformats.org/officeDocument/2006/relationships/hyperlink" Target="https://www.mcmaster.com/90015A410/" TargetMode="External"/><Relationship Id="rId65" Type="http://schemas.openxmlformats.org/officeDocument/2006/relationships/hyperlink" Target="https://www.amazon.com/" TargetMode="External"/><Relationship Id="rId73" Type="http://schemas.openxmlformats.org/officeDocument/2006/relationships/hyperlink" Target="https://www.mcmaster.com/4429K421/" TargetMode="External"/><Relationship Id="rId78" Type="http://schemas.openxmlformats.org/officeDocument/2006/relationships/hyperlink" Target="https://www.mcmaster.com/98831A360-98831A028/" TargetMode="External"/><Relationship Id="rId81" Type="http://schemas.openxmlformats.org/officeDocument/2006/relationships/hyperlink" Target="https://www.mcmaster.com/92994A029/" TargetMode="External"/><Relationship Id="rId86" Type="http://schemas.openxmlformats.org/officeDocument/2006/relationships/hyperlink" Target="https://www.mcmaster.com/8982K4-8982K402/" TargetMode="External"/><Relationship Id="rId94" Type="http://schemas.openxmlformats.org/officeDocument/2006/relationships/hyperlink" Target="https://sendcutsend.com/" TargetMode="External"/><Relationship Id="rId99" Type="http://schemas.openxmlformats.org/officeDocument/2006/relationships/hyperlink" Target="https://www.mcmaster.com/8947T26/" TargetMode="External"/><Relationship Id="rId101" Type="http://schemas.openxmlformats.org/officeDocument/2006/relationships/printerSettings" Target="../printerSettings/printerSettings1.bin"/><Relationship Id="rId4" Type="http://schemas.openxmlformats.org/officeDocument/2006/relationships/hyperlink" Target="https://www.mcmaster.com/7392T17-7392T173/" TargetMode="External"/><Relationship Id="rId9" Type="http://schemas.openxmlformats.org/officeDocument/2006/relationships/hyperlink" Target="https://www.mcmaster.com/90264A435/" TargetMode="External"/><Relationship Id="rId13" Type="http://schemas.openxmlformats.org/officeDocument/2006/relationships/hyperlink" Target="https://www.mcmaster.com/44665K137/" TargetMode="External"/><Relationship Id="rId18" Type="http://schemas.openxmlformats.org/officeDocument/2006/relationships/hyperlink" Target="https://www.mcmaster.com/4468K812-4468K031/" TargetMode="External"/><Relationship Id="rId39" Type="http://schemas.openxmlformats.org/officeDocument/2006/relationships/hyperlink" Target="https://www.mcmaster.com/9056K23-9056K235/" TargetMode="External"/><Relationship Id="rId34" Type="http://schemas.openxmlformats.org/officeDocument/2006/relationships/hyperlink" Target="https://www.mcmaster.com/98689A113/" TargetMode="External"/><Relationship Id="rId50" Type="http://schemas.openxmlformats.org/officeDocument/2006/relationships/hyperlink" Target="https://www.mcmaster.com/50675K164/" TargetMode="External"/><Relationship Id="rId55" Type="http://schemas.openxmlformats.org/officeDocument/2006/relationships/hyperlink" Target="https://sendcutsend.com/" TargetMode="External"/><Relationship Id="rId76" Type="http://schemas.openxmlformats.org/officeDocument/2006/relationships/hyperlink" Target="https://www.mcmaster.com/5485K21/" TargetMode="External"/><Relationship Id="rId97" Type="http://schemas.openxmlformats.org/officeDocument/2006/relationships/hyperlink" Target="https://www.mcmaster.com/93135A013/" TargetMode="External"/><Relationship Id="rId7" Type="http://schemas.openxmlformats.org/officeDocument/2006/relationships/hyperlink" Target="https://www.mcmaster.com/94579A550/" TargetMode="External"/><Relationship Id="rId71" Type="http://schemas.openxmlformats.org/officeDocument/2006/relationships/hyperlink" Target="https://www.mcmaster.com/50785K164/" TargetMode="External"/><Relationship Id="rId92" Type="http://schemas.openxmlformats.org/officeDocument/2006/relationships/hyperlink" Target="https://www.csrocketry.com/recovery-supplies/hardware-and-shock-chord/kevlar-and-nylon-shock-chord/5/8-yellow-tubular-nylon.html" TargetMode="External"/><Relationship Id="rId2" Type="http://schemas.openxmlformats.org/officeDocument/2006/relationships/hyperlink" Target="https://www.mcmaster.com/1610T37-1610T33/" TargetMode="External"/><Relationship Id="rId29" Type="http://schemas.openxmlformats.org/officeDocument/2006/relationships/hyperlink" Target="https://www.mcmaster.com/4112T22/" TargetMode="External"/><Relationship Id="rId24" Type="http://schemas.openxmlformats.org/officeDocument/2006/relationships/hyperlink" Target="https://www.mcmaster.com/50785K41/" TargetMode="External"/><Relationship Id="rId40" Type="http://schemas.openxmlformats.org/officeDocument/2006/relationships/hyperlink" Target="https://www.mcmaster.com/9103K9-9103K93/" TargetMode="External"/><Relationship Id="rId45" Type="http://schemas.openxmlformats.org/officeDocument/2006/relationships/hyperlink" Target="http://www.topflightrecoveryllc.com/page3.html" TargetMode="External"/><Relationship Id="rId66" Type="http://schemas.openxmlformats.org/officeDocument/2006/relationships/hyperlink" Target="https://www.amazon.com/" TargetMode="External"/><Relationship Id="rId87" Type="http://schemas.openxmlformats.org/officeDocument/2006/relationships/hyperlink" Target="https://www.mcmaster.com/1125T412/" TargetMode="External"/><Relationship Id="rId61" Type="http://schemas.openxmlformats.org/officeDocument/2006/relationships/hyperlink" Target="https://www.mcmaster.com/9368T14/" TargetMode="External"/><Relationship Id="rId82" Type="http://schemas.openxmlformats.org/officeDocument/2006/relationships/hyperlink" Target="https://www.mcmaster.com/20545T38/" TargetMode="External"/><Relationship Id="rId19" Type="http://schemas.openxmlformats.org/officeDocument/2006/relationships/hyperlink" Target="https://www.mcmaster.com/4468K813-4468K865/" TargetMode="External"/><Relationship Id="rId14" Type="http://schemas.openxmlformats.org/officeDocument/2006/relationships/hyperlink" Target="https://www.mcmaster.com/5485K31/" TargetMode="External"/><Relationship Id="rId30" Type="http://schemas.openxmlformats.org/officeDocument/2006/relationships/hyperlink" Target="https://www.mcmaster.com/90480A009/" TargetMode="External"/><Relationship Id="rId35" Type="http://schemas.openxmlformats.org/officeDocument/2006/relationships/hyperlink" Target="https://www.mcmaster.com/92148A160/" TargetMode="External"/><Relationship Id="rId56" Type="http://schemas.openxmlformats.org/officeDocument/2006/relationships/hyperlink" Target="https://www.mcmaster.com/92141A029/" TargetMode="External"/><Relationship Id="rId77" Type="http://schemas.openxmlformats.org/officeDocument/2006/relationships/hyperlink" Target="https://www.mcmaster.com/50785K91/" TargetMode="External"/><Relationship Id="rId100" Type="http://schemas.openxmlformats.org/officeDocument/2006/relationships/hyperlink" Target="https://www.mcmaster.com/50785K43/" TargetMode="External"/><Relationship Id="rId8" Type="http://schemas.openxmlformats.org/officeDocument/2006/relationships/hyperlink" Target="https://www.mcmaster.com/91306A279/" TargetMode="External"/><Relationship Id="rId51" Type="http://schemas.openxmlformats.org/officeDocument/2006/relationships/hyperlink" Target="https://www.mcmaster.com/9396K79/" TargetMode="External"/><Relationship Id="rId72" Type="http://schemas.openxmlformats.org/officeDocument/2006/relationships/hyperlink" Target="https://www.mcmaster.com/50785K94/" TargetMode="External"/><Relationship Id="rId93" Type="http://schemas.openxmlformats.org/officeDocument/2006/relationships/hyperlink" Target="https://www.csrocketry.com/recovery-supplies/skyangle/protectors/16-skyangle-chute-protector.html" TargetMode="External"/><Relationship Id="rId98" Type="http://schemas.openxmlformats.org/officeDocument/2006/relationships/hyperlink" Target="https://www.mcmaster.com/7712K511/" TargetMode="External"/><Relationship Id="rId3" Type="http://schemas.openxmlformats.org/officeDocument/2006/relationships/hyperlink" Target="https://www.mcmaster.com/9056K42-9056K423/"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csrocketry.com/recovery-supplies/ejection-supplies/black-powder.html" TargetMode="External"/><Relationship Id="rId2" Type="http://schemas.openxmlformats.org/officeDocument/2006/relationships/hyperlink" Target="https://www.csrocketry.com/recovery-supplies/ejection-supplies/firewire-electric-match.html" TargetMode="External"/><Relationship Id="rId1" Type="http://schemas.openxmlformats.org/officeDocument/2006/relationships/hyperlink" Target="https://shop.hodgdon.com/pyrodex-p-pistol-powder/" TargetMode="External"/><Relationship Id="rId5" Type="http://schemas.openxmlformats.org/officeDocument/2006/relationships/hyperlink" Target="https://www.mcmaster.com/52555T64-52555T644/" TargetMode="External"/><Relationship Id="rId4" Type="http://schemas.openxmlformats.org/officeDocument/2006/relationships/hyperlink" Target="https://www.mcmaster.com/52555T64-52555T644/"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www.amazon.com/" TargetMode="External"/><Relationship Id="rId18" Type="http://schemas.openxmlformats.org/officeDocument/2006/relationships/hyperlink" Target="https://www.mcmaster.com/4468K811-4468K041/" TargetMode="External"/><Relationship Id="rId26" Type="http://schemas.openxmlformats.org/officeDocument/2006/relationships/hyperlink" Target="https://www.mcmaster.com/50785K272/" TargetMode="External"/><Relationship Id="rId3" Type="http://schemas.openxmlformats.org/officeDocument/2006/relationships/hyperlink" Target="https://www.harborfreight.com/12v-160-cca-agm-battery-62586.html" TargetMode="External"/><Relationship Id="rId21" Type="http://schemas.openxmlformats.org/officeDocument/2006/relationships/hyperlink" Target="https://www.mcmaster.com/50785K273/" TargetMode="External"/><Relationship Id="rId34" Type="http://schemas.openxmlformats.org/officeDocument/2006/relationships/hyperlink" Target="https://www.mcmaster.com/9685T3/" TargetMode="External"/><Relationship Id="rId7" Type="http://schemas.openxmlformats.org/officeDocument/2006/relationships/hyperlink" Target="https://www.amazon.com/" TargetMode="External"/><Relationship Id="rId12" Type="http://schemas.openxmlformats.org/officeDocument/2006/relationships/hyperlink" Target="https://www.mcmaster.com/9489T519/" TargetMode="External"/><Relationship Id="rId17" Type="http://schemas.openxmlformats.org/officeDocument/2006/relationships/hyperlink" Target="https://www.mcmaster.com/79215A672/" TargetMode="External"/><Relationship Id="rId25" Type="http://schemas.openxmlformats.org/officeDocument/2006/relationships/hyperlink" Target="https://www.mcmaster.com/9396T31/" TargetMode="External"/><Relationship Id="rId33" Type="http://schemas.openxmlformats.org/officeDocument/2006/relationships/hyperlink" Target="https://www.amazon.com/" TargetMode="External"/><Relationship Id="rId2" Type="http://schemas.openxmlformats.org/officeDocument/2006/relationships/hyperlink" Target="https://www.amazon.com/" TargetMode="External"/><Relationship Id="rId16" Type="http://schemas.openxmlformats.org/officeDocument/2006/relationships/hyperlink" Target="https://www.mcmaster.com/79215A673/" TargetMode="External"/><Relationship Id="rId20" Type="http://schemas.openxmlformats.org/officeDocument/2006/relationships/hyperlink" Target="https://www.mcmaster.com/50785K92/" TargetMode="External"/><Relationship Id="rId29" Type="http://schemas.openxmlformats.org/officeDocument/2006/relationships/hyperlink" Target="https://www.mcmaster.com/90272A194/" TargetMode="External"/><Relationship Id="rId1" Type="http://schemas.openxmlformats.org/officeDocument/2006/relationships/hyperlink" Target="https://www.amazon.com/" TargetMode="External"/><Relationship Id="rId6" Type="http://schemas.openxmlformats.org/officeDocument/2006/relationships/hyperlink" Target="https://www.amazon.com/" TargetMode="External"/><Relationship Id="rId11" Type="http://schemas.openxmlformats.org/officeDocument/2006/relationships/hyperlink" Target="https://www.harborfreight.com/steel-toolbox-91111.html" TargetMode="External"/><Relationship Id="rId24" Type="http://schemas.openxmlformats.org/officeDocument/2006/relationships/hyperlink" Target="https://www.mcmaster.com/5485K22/" TargetMode="External"/><Relationship Id="rId32" Type="http://schemas.openxmlformats.org/officeDocument/2006/relationships/hyperlink" Target="https://www.mcmaster.com/92148A160/" TargetMode="External"/><Relationship Id="rId5" Type="http://schemas.openxmlformats.org/officeDocument/2006/relationships/hyperlink" Target="https://www.amazon.com/" TargetMode="External"/><Relationship Id="rId15" Type="http://schemas.openxmlformats.org/officeDocument/2006/relationships/hyperlink" Target="https://gascylindersource.com/shop/nitrous-oxide-cylinders/20-lb-aluminum-n2o-cylinder-with-handle/" TargetMode="External"/><Relationship Id="rId23" Type="http://schemas.openxmlformats.org/officeDocument/2006/relationships/hyperlink" Target="https://www.mcmaster.com/50785K222/" TargetMode="External"/><Relationship Id="rId28" Type="http://schemas.openxmlformats.org/officeDocument/2006/relationships/hyperlink" Target="https://www.mcmaster.com/9396T32/" TargetMode="External"/><Relationship Id="rId10" Type="http://schemas.openxmlformats.org/officeDocument/2006/relationships/hyperlink" Target="https://www.amazon.com/" TargetMode="External"/><Relationship Id="rId19" Type="http://schemas.openxmlformats.org/officeDocument/2006/relationships/hyperlink" Target="https://www.mcmaster.com/50675K162/" TargetMode="External"/><Relationship Id="rId31" Type="http://schemas.openxmlformats.org/officeDocument/2006/relationships/hyperlink" Target="https://www.mcmaster.com/98689A113/" TargetMode="External"/><Relationship Id="rId4" Type="http://schemas.openxmlformats.org/officeDocument/2006/relationships/hyperlink" Target="https://www.amazon.com/" TargetMode="External"/><Relationship Id="rId9" Type="http://schemas.openxmlformats.org/officeDocument/2006/relationships/hyperlink" Target="https://www.mcmaster.com/7526K53/" TargetMode="External"/><Relationship Id="rId14" Type="http://schemas.openxmlformats.org/officeDocument/2006/relationships/hyperlink" Target="https://www.mcmaster.com/4112T22/" TargetMode="External"/><Relationship Id="rId22" Type="http://schemas.openxmlformats.org/officeDocument/2006/relationships/hyperlink" Target="https://www.mcmaster.com/97149A370/" TargetMode="External"/><Relationship Id="rId27" Type="http://schemas.openxmlformats.org/officeDocument/2006/relationships/hyperlink" Target="https://www.mcmaster.com/3846K8-3846K93/" TargetMode="External"/><Relationship Id="rId30" Type="http://schemas.openxmlformats.org/officeDocument/2006/relationships/hyperlink" Target="https://www.mcmaster.com/90480A009/" TargetMode="External"/><Relationship Id="rId35" Type="http://schemas.openxmlformats.org/officeDocument/2006/relationships/hyperlink" Target="https://www.amazon.com/" TargetMode="External"/><Relationship Id="rId8" Type="http://schemas.openxmlformats.org/officeDocument/2006/relationships/hyperlink" Target="https://www.mcmaster.com/7159K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R18"/>
  <sheetViews>
    <sheetView tabSelected="1" workbookViewId="0">
      <selection activeCell="B2" sqref="B2"/>
    </sheetView>
  </sheetViews>
  <sheetFormatPr defaultRowHeight="14.5" x14ac:dyDescent="0.35"/>
  <cols>
    <col min="1" max="1" width="8.7265625" style="1"/>
    <col min="2" max="2" width="15.453125" style="1" bestFit="1" customWidth="1"/>
    <col min="3" max="3" width="28.1796875" style="1" bestFit="1" customWidth="1"/>
    <col min="4" max="4" width="8.7265625" style="1"/>
    <col min="5" max="5" width="8.6328125" style="1" bestFit="1" customWidth="1"/>
    <col min="6" max="6" width="12.453125" style="1" bestFit="1" customWidth="1"/>
    <col min="7" max="16384" width="8.7265625" style="1"/>
  </cols>
  <sheetData>
    <row r="1" spans="2:18" ht="15" thickBot="1" x14ac:dyDescent="0.4"/>
    <row r="2" spans="2:18" x14ac:dyDescent="0.35">
      <c r="B2" s="3" t="s">
        <v>5</v>
      </c>
      <c r="C2" s="4" t="s">
        <v>0</v>
      </c>
      <c r="E2" s="80"/>
      <c r="F2" s="81"/>
      <c r="G2" s="81"/>
      <c r="H2" s="81"/>
      <c r="I2" s="81"/>
      <c r="J2" s="81"/>
      <c r="K2" s="81"/>
      <c r="L2" s="81"/>
      <c r="M2" s="81"/>
      <c r="N2" s="81"/>
      <c r="O2" s="81"/>
      <c r="P2" s="81"/>
      <c r="Q2" s="81"/>
      <c r="R2" s="82"/>
    </row>
    <row r="3" spans="2:18" x14ac:dyDescent="0.35">
      <c r="B3" s="7" t="s">
        <v>2</v>
      </c>
      <c r="C3" s="5" t="str">
        <f>"01"</f>
        <v>01</v>
      </c>
      <c r="E3" s="74" t="s">
        <v>715</v>
      </c>
      <c r="F3" s="75"/>
      <c r="G3" s="75"/>
      <c r="H3" s="75"/>
      <c r="I3" s="75"/>
      <c r="J3" s="75"/>
      <c r="K3" s="75"/>
      <c r="L3" s="75"/>
      <c r="M3" s="75"/>
      <c r="N3" s="75"/>
      <c r="O3" s="75"/>
      <c r="P3" s="75"/>
      <c r="Q3" s="75"/>
      <c r="R3" s="76"/>
    </row>
    <row r="4" spans="2:18" x14ac:dyDescent="0.35">
      <c r="B4" s="7" t="s">
        <v>4</v>
      </c>
      <c r="C4" s="10">
        <v>46137</v>
      </c>
      <c r="E4" s="74"/>
      <c r="F4" s="75"/>
      <c r="G4" s="75"/>
      <c r="H4" s="75"/>
      <c r="I4" s="75"/>
      <c r="J4" s="75"/>
      <c r="K4" s="75"/>
      <c r="L4" s="75"/>
      <c r="M4" s="75"/>
      <c r="N4" s="75"/>
      <c r="O4" s="75"/>
      <c r="P4" s="75"/>
      <c r="Q4" s="75"/>
      <c r="R4" s="76"/>
    </row>
    <row r="5" spans="2:18" ht="15" thickBot="1" x14ac:dyDescent="0.4">
      <c r="B5" s="8" t="s">
        <v>1</v>
      </c>
      <c r="C5" s="6" t="s">
        <v>3</v>
      </c>
      <c r="E5" s="74"/>
      <c r="F5" s="75"/>
      <c r="G5" s="75"/>
      <c r="H5" s="75"/>
      <c r="I5" s="75"/>
      <c r="J5" s="75"/>
      <c r="K5" s="75"/>
      <c r="L5" s="75"/>
      <c r="M5" s="75"/>
      <c r="N5" s="75"/>
      <c r="O5" s="75"/>
      <c r="P5" s="75"/>
      <c r="Q5" s="75"/>
      <c r="R5" s="76"/>
    </row>
    <row r="6" spans="2:18" ht="15" thickBot="1" x14ac:dyDescent="0.4">
      <c r="E6" s="74"/>
      <c r="F6" s="75"/>
      <c r="G6" s="75"/>
      <c r="H6" s="75"/>
      <c r="I6" s="75"/>
      <c r="J6" s="75"/>
      <c r="K6" s="75"/>
      <c r="L6" s="75"/>
      <c r="M6" s="75"/>
      <c r="N6" s="75"/>
      <c r="O6" s="75"/>
      <c r="P6" s="75"/>
      <c r="Q6" s="75"/>
      <c r="R6" s="76"/>
    </row>
    <row r="7" spans="2:18" x14ac:dyDescent="0.35">
      <c r="B7" s="3" t="s">
        <v>2</v>
      </c>
      <c r="C7" s="4" t="s">
        <v>4</v>
      </c>
      <c r="E7" s="74"/>
      <c r="F7" s="75"/>
      <c r="G7" s="75"/>
      <c r="H7" s="75"/>
      <c r="I7" s="75"/>
      <c r="J7" s="75"/>
      <c r="K7" s="75"/>
      <c r="L7" s="75"/>
      <c r="M7" s="75"/>
      <c r="N7" s="75"/>
      <c r="O7" s="75"/>
      <c r="P7" s="75"/>
      <c r="Q7" s="75"/>
      <c r="R7" s="76"/>
    </row>
    <row r="8" spans="2:18" ht="15" thickBot="1" x14ac:dyDescent="0.4">
      <c r="B8" s="8" t="str">
        <f>"01"</f>
        <v>01</v>
      </c>
      <c r="C8" s="9">
        <v>46137</v>
      </c>
      <c r="E8" s="74"/>
      <c r="F8" s="75"/>
      <c r="G8" s="75"/>
      <c r="H8" s="75"/>
      <c r="I8" s="75"/>
      <c r="J8" s="75"/>
      <c r="K8" s="75"/>
      <c r="L8" s="75"/>
      <c r="M8" s="75"/>
      <c r="N8" s="75"/>
      <c r="O8" s="75"/>
      <c r="P8" s="75"/>
      <c r="Q8" s="75"/>
      <c r="R8" s="76"/>
    </row>
    <row r="9" spans="2:18" x14ac:dyDescent="0.35">
      <c r="E9" s="74"/>
      <c r="F9" s="75"/>
      <c r="G9" s="75"/>
      <c r="H9" s="75"/>
      <c r="I9" s="75"/>
      <c r="J9" s="75"/>
      <c r="K9" s="75"/>
      <c r="L9" s="75"/>
      <c r="M9" s="75"/>
      <c r="N9" s="75"/>
      <c r="O9" s="75"/>
      <c r="P9" s="75"/>
      <c r="Q9" s="75"/>
      <c r="R9" s="76"/>
    </row>
    <row r="10" spans="2:18" x14ac:dyDescent="0.35">
      <c r="E10" s="74"/>
      <c r="F10" s="75"/>
      <c r="G10" s="75"/>
      <c r="H10" s="75"/>
      <c r="I10" s="75"/>
      <c r="J10" s="75"/>
      <c r="K10" s="75"/>
      <c r="L10" s="75"/>
      <c r="M10" s="75"/>
      <c r="N10" s="75"/>
      <c r="O10" s="75"/>
      <c r="P10" s="75"/>
      <c r="Q10" s="75"/>
      <c r="R10" s="76"/>
    </row>
    <row r="11" spans="2:18" x14ac:dyDescent="0.35">
      <c r="E11" s="74"/>
      <c r="F11" s="75"/>
      <c r="G11" s="75"/>
      <c r="H11" s="75"/>
      <c r="I11" s="75"/>
      <c r="J11" s="75"/>
      <c r="K11" s="75"/>
      <c r="L11" s="75"/>
      <c r="M11" s="75"/>
      <c r="N11" s="75"/>
      <c r="O11" s="75"/>
      <c r="P11" s="75"/>
      <c r="Q11" s="75"/>
      <c r="R11" s="76"/>
    </row>
    <row r="12" spans="2:18" x14ac:dyDescent="0.35">
      <c r="E12" s="74"/>
      <c r="F12" s="75"/>
      <c r="G12" s="75"/>
      <c r="H12" s="75"/>
      <c r="I12" s="75"/>
      <c r="J12" s="75"/>
      <c r="K12" s="75"/>
      <c r="L12" s="75"/>
      <c r="M12" s="75"/>
      <c r="N12" s="75"/>
      <c r="O12" s="75"/>
      <c r="P12" s="75"/>
      <c r="Q12" s="75"/>
      <c r="R12" s="76"/>
    </row>
    <row r="13" spans="2:18" x14ac:dyDescent="0.35">
      <c r="E13" s="74"/>
      <c r="F13" s="75"/>
      <c r="G13" s="75"/>
      <c r="H13" s="75"/>
      <c r="I13" s="75"/>
      <c r="J13" s="75"/>
      <c r="K13" s="75"/>
      <c r="L13" s="75"/>
      <c r="M13" s="75"/>
      <c r="N13" s="75"/>
      <c r="O13" s="75"/>
      <c r="P13" s="75"/>
      <c r="Q13" s="75"/>
      <c r="R13" s="76"/>
    </row>
    <row r="14" spans="2:18" x14ac:dyDescent="0.35">
      <c r="E14" s="74"/>
      <c r="F14" s="75"/>
      <c r="G14" s="75"/>
      <c r="H14" s="75"/>
      <c r="I14" s="75"/>
      <c r="J14" s="75"/>
      <c r="K14" s="75"/>
      <c r="L14" s="75"/>
      <c r="M14" s="75"/>
      <c r="N14" s="75"/>
      <c r="O14" s="75"/>
      <c r="P14" s="75"/>
      <c r="Q14" s="75"/>
      <c r="R14" s="76"/>
    </row>
    <row r="15" spans="2:18" x14ac:dyDescent="0.35">
      <c r="E15" s="74"/>
      <c r="F15" s="75"/>
      <c r="G15" s="75"/>
      <c r="H15" s="75"/>
      <c r="I15" s="75"/>
      <c r="J15" s="75"/>
      <c r="K15" s="75"/>
      <c r="L15" s="75"/>
      <c r="M15" s="75"/>
      <c r="N15" s="75"/>
      <c r="O15" s="75"/>
      <c r="P15" s="75"/>
      <c r="Q15" s="75"/>
      <c r="R15" s="76"/>
    </row>
    <row r="16" spans="2:18" x14ac:dyDescent="0.35">
      <c r="E16" s="74"/>
      <c r="F16" s="75"/>
      <c r="G16" s="75"/>
      <c r="H16" s="75"/>
      <c r="I16" s="75"/>
      <c r="J16" s="75"/>
      <c r="K16" s="75"/>
      <c r="L16" s="75"/>
      <c r="M16" s="75"/>
      <c r="N16" s="75"/>
      <c r="O16" s="75"/>
      <c r="P16" s="75"/>
      <c r="Q16" s="75"/>
      <c r="R16" s="76"/>
    </row>
    <row r="17" spans="5:18" x14ac:dyDescent="0.35">
      <c r="E17" s="74"/>
      <c r="F17" s="75"/>
      <c r="G17" s="75"/>
      <c r="H17" s="75"/>
      <c r="I17" s="75"/>
      <c r="J17" s="75"/>
      <c r="K17" s="75"/>
      <c r="L17" s="75"/>
      <c r="M17" s="75"/>
      <c r="N17" s="75"/>
      <c r="O17" s="75"/>
      <c r="P17" s="75"/>
      <c r="Q17" s="75"/>
      <c r="R17" s="76"/>
    </row>
    <row r="18" spans="5:18" ht="15" thickBot="1" x14ac:dyDescent="0.4">
      <c r="E18" s="77"/>
      <c r="F18" s="78"/>
      <c r="G18" s="78"/>
      <c r="H18" s="78"/>
      <c r="I18" s="78"/>
      <c r="J18" s="78"/>
      <c r="K18" s="78"/>
      <c r="L18" s="78"/>
      <c r="M18" s="78"/>
      <c r="N18" s="78"/>
      <c r="O18" s="78"/>
      <c r="P18" s="78"/>
      <c r="Q18" s="78"/>
      <c r="R18" s="79"/>
    </row>
  </sheetData>
  <mergeCells count="2">
    <mergeCell ref="E3:R18"/>
    <mergeCell ref="E2:R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4B5AD-AB9C-4E3B-B87B-EC1F630C508E}">
  <sheetPr codeName="Sheet2"/>
  <dimension ref="B2:O201"/>
  <sheetViews>
    <sheetView zoomScaleNormal="100" workbookViewId="0">
      <selection activeCell="B2" sqref="B2"/>
    </sheetView>
  </sheetViews>
  <sheetFormatPr defaultRowHeight="14.5" x14ac:dyDescent="0.35"/>
  <cols>
    <col min="1" max="1" width="8.7265625" style="1"/>
    <col min="2" max="2" width="5.6328125" style="1" customWidth="1"/>
    <col min="3" max="3" width="71.81640625" style="1" bestFit="1" customWidth="1"/>
    <col min="4" max="4" width="9.26953125" style="1" bestFit="1" customWidth="1"/>
    <col min="5" max="5" width="4.54296875" style="1" bestFit="1" customWidth="1"/>
    <col min="6" max="6" width="10.08984375" style="1" bestFit="1" customWidth="1"/>
    <col min="7" max="7" width="50.81640625" style="1" bestFit="1" customWidth="1"/>
    <col min="8" max="8" width="41.1796875" style="1" bestFit="1" customWidth="1"/>
    <col min="9" max="9" width="25.6328125" style="1" customWidth="1"/>
    <col min="10" max="10" width="50.6328125" style="1" customWidth="1"/>
    <col min="11" max="11" width="8.7265625" style="1"/>
    <col min="12" max="12" width="5.6328125" style="1" customWidth="1"/>
    <col min="13" max="14" width="18.90625" style="1" bestFit="1" customWidth="1"/>
    <col min="15" max="16384" width="8.7265625" style="1"/>
  </cols>
  <sheetData>
    <row r="2" spans="2:15" x14ac:dyDescent="0.35">
      <c r="B2" s="12" t="s">
        <v>98</v>
      </c>
      <c r="C2" s="2" t="s">
        <v>95</v>
      </c>
    </row>
    <row r="3" spans="2:15" ht="15" thickBot="1" x14ac:dyDescent="0.4"/>
    <row r="4" spans="2:15" x14ac:dyDescent="0.35">
      <c r="B4" s="24" t="s">
        <v>6</v>
      </c>
      <c r="C4" s="25" t="s">
        <v>7</v>
      </c>
      <c r="D4" s="25" t="s">
        <v>8</v>
      </c>
      <c r="E4" s="26" t="s">
        <v>9</v>
      </c>
      <c r="F4" s="25" t="s">
        <v>10</v>
      </c>
      <c r="G4" s="25" t="s">
        <v>11</v>
      </c>
      <c r="H4" s="25" t="s">
        <v>12</v>
      </c>
      <c r="I4" s="25" t="s">
        <v>13</v>
      </c>
      <c r="J4" s="27" t="s">
        <v>14</v>
      </c>
      <c r="L4" s="24" t="s">
        <v>6</v>
      </c>
      <c r="M4" s="25" t="s">
        <v>290</v>
      </c>
      <c r="N4" s="27" t="s">
        <v>291</v>
      </c>
    </row>
    <row r="5" spans="2:15" x14ac:dyDescent="0.35">
      <c r="B5" s="14">
        <v>1</v>
      </c>
      <c r="C5" s="11" t="s">
        <v>15</v>
      </c>
      <c r="D5" s="15">
        <v>14.95</v>
      </c>
      <c r="E5" s="16">
        <v>2</v>
      </c>
      <c r="F5" s="15">
        <f>D5*E5</f>
        <v>29.9</v>
      </c>
      <c r="G5" s="11" t="s">
        <v>16</v>
      </c>
      <c r="H5" s="11" t="s">
        <v>47</v>
      </c>
      <c r="I5" s="11" t="s">
        <v>84</v>
      </c>
      <c r="J5" s="29" t="s">
        <v>48</v>
      </c>
      <c r="K5" s="13" t="s">
        <v>97</v>
      </c>
      <c r="L5" s="14">
        <v>1</v>
      </c>
      <c r="M5" s="35"/>
      <c r="N5" s="40" t="s">
        <v>97</v>
      </c>
      <c r="O5" s="13" t="s">
        <v>97</v>
      </c>
    </row>
    <row r="6" spans="2:15" x14ac:dyDescent="0.35">
      <c r="B6" s="17">
        <v>2</v>
      </c>
      <c r="C6" s="18" t="s">
        <v>17</v>
      </c>
      <c r="D6" s="19">
        <v>22.26</v>
      </c>
      <c r="E6" s="20">
        <v>1</v>
      </c>
      <c r="F6" s="19">
        <f t="shared" ref="F6:F23" si="0">D6*E6</f>
        <v>22.26</v>
      </c>
      <c r="G6" s="18" t="s">
        <v>18</v>
      </c>
      <c r="H6" s="18" t="s">
        <v>49</v>
      </c>
      <c r="I6" s="18" t="s">
        <v>85</v>
      </c>
      <c r="J6" s="30" t="s">
        <v>50</v>
      </c>
      <c r="K6" s="13" t="s">
        <v>97</v>
      </c>
      <c r="L6" s="17">
        <v>2</v>
      </c>
      <c r="M6" s="36"/>
      <c r="N6" s="41" t="s">
        <v>97</v>
      </c>
      <c r="O6" s="13" t="s">
        <v>97</v>
      </c>
    </row>
    <row r="7" spans="2:15" x14ac:dyDescent="0.35">
      <c r="B7" s="14">
        <v>3</v>
      </c>
      <c r="C7" s="11" t="s">
        <v>19</v>
      </c>
      <c r="D7" s="15">
        <v>85.38</v>
      </c>
      <c r="E7" s="16">
        <v>1</v>
      </c>
      <c r="F7" s="15">
        <f t="shared" si="0"/>
        <v>85.38</v>
      </c>
      <c r="G7" s="11" t="s">
        <v>20</v>
      </c>
      <c r="H7" s="11" t="s">
        <v>51</v>
      </c>
      <c r="I7" s="11" t="s">
        <v>86</v>
      </c>
      <c r="J7" s="29" t="s">
        <v>52</v>
      </c>
      <c r="K7" s="13" t="s">
        <v>97</v>
      </c>
      <c r="L7" s="14">
        <v>3</v>
      </c>
      <c r="M7" s="35"/>
      <c r="N7" s="40" t="s">
        <v>97</v>
      </c>
      <c r="O7" s="13" t="s">
        <v>97</v>
      </c>
    </row>
    <row r="8" spans="2:15" x14ac:dyDescent="0.35">
      <c r="B8" s="17">
        <v>4</v>
      </c>
      <c r="C8" s="18" t="s">
        <v>21</v>
      </c>
      <c r="D8" s="19">
        <v>10.37</v>
      </c>
      <c r="E8" s="20">
        <v>2</v>
      </c>
      <c r="F8" s="19">
        <f t="shared" si="0"/>
        <v>20.74</v>
      </c>
      <c r="G8" s="18" t="s">
        <v>22</v>
      </c>
      <c r="H8" s="18" t="s">
        <v>53</v>
      </c>
      <c r="I8" s="18" t="s">
        <v>87</v>
      </c>
      <c r="J8" s="30" t="s">
        <v>54</v>
      </c>
      <c r="K8" s="13" t="s">
        <v>97</v>
      </c>
      <c r="L8" s="17">
        <v>4</v>
      </c>
      <c r="M8" s="36"/>
      <c r="N8" s="41" t="s">
        <v>97</v>
      </c>
      <c r="O8" s="13" t="s">
        <v>97</v>
      </c>
    </row>
    <row r="9" spans="2:15" x14ac:dyDescent="0.35">
      <c r="B9" s="14">
        <v>5</v>
      </c>
      <c r="C9" s="11" t="s">
        <v>23</v>
      </c>
      <c r="D9" s="15">
        <v>16.14</v>
      </c>
      <c r="E9" s="16">
        <v>1</v>
      </c>
      <c r="F9" s="15">
        <f t="shared" si="0"/>
        <v>16.14</v>
      </c>
      <c r="G9" s="11" t="s">
        <v>24</v>
      </c>
      <c r="H9" s="11" t="s">
        <v>55</v>
      </c>
      <c r="I9" s="11" t="s">
        <v>88</v>
      </c>
      <c r="J9" s="29" t="s">
        <v>56</v>
      </c>
      <c r="K9" s="13" t="s">
        <v>97</v>
      </c>
      <c r="L9" s="14">
        <v>5</v>
      </c>
      <c r="M9" s="35"/>
      <c r="N9" s="40" t="s">
        <v>97</v>
      </c>
      <c r="O9" s="13" t="s">
        <v>97</v>
      </c>
    </row>
    <row r="10" spans="2:15" x14ac:dyDescent="0.35">
      <c r="B10" s="17">
        <v>6</v>
      </c>
      <c r="C10" s="18" t="s">
        <v>25</v>
      </c>
      <c r="D10" s="19">
        <v>7.57</v>
      </c>
      <c r="E10" s="20">
        <v>1</v>
      </c>
      <c r="F10" s="19">
        <f t="shared" si="0"/>
        <v>7.57</v>
      </c>
      <c r="G10" s="18" t="s">
        <v>26</v>
      </c>
      <c r="H10" s="18" t="s">
        <v>57</v>
      </c>
      <c r="I10" s="18" t="s">
        <v>89</v>
      </c>
      <c r="J10" s="30" t="s">
        <v>58</v>
      </c>
      <c r="K10" s="13" t="s">
        <v>97</v>
      </c>
      <c r="L10" s="17">
        <v>6</v>
      </c>
      <c r="M10" s="36"/>
      <c r="N10" s="41" t="s">
        <v>97</v>
      </c>
      <c r="O10" s="13" t="s">
        <v>97</v>
      </c>
    </row>
    <row r="11" spans="2:15" x14ac:dyDescent="0.35">
      <c r="B11" s="14">
        <v>7</v>
      </c>
      <c r="C11" s="11" t="s">
        <v>27</v>
      </c>
      <c r="D11" s="15">
        <v>9.2100000000000009</v>
      </c>
      <c r="E11" s="16">
        <v>1</v>
      </c>
      <c r="F11" s="15">
        <f t="shared" si="0"/>
        <v>9.2100000000000009</v>
      </c>
      <c r="G11" s="11" t="s">
        <v>28</v>
      </c>
      <c r="H11" s="11" t="s">
        <v>59</v>
      </c>
      <c r="I11" s="11" t="s">
        <v>90</v>
      </c>
      <c r="J11" s="29" t="s">
        <v>60</v>
      </c>
      <c r="K11" s="13" t="s">
        <v>97</v>
      </c>
      <c r="L11" s="14">
        <v>7</v>
      </c>
      <c r="M11" s="35"/>
      <c r="N11" s="40" t="s">
        <v>97</v>
      </c>
      <c r="O11" s="13" t="s">
        <v>97</v>
      </c>
    </row>
    <row r="12" spans="2:15" x14ac:dyDescent="0.35">
      <c r="B12" s="17">
        <v>8</v>
      </c>
      <c r="C12" s="18" t="s">
        <v>29</v>
      </c>
      <c r="D12" s="19">
        <v>9.3000000000000007</v>
      </c>
      <c r="E12" s="20">
        <v>1</v>
      </c>
      <c r="F12" s="19">
        <f t="shared" si="0"/>
        <v>9.3000000000000007</v>
      </c>
      <c r="G12" s="18" t="s">
        <v>30</v>
      </c>
      <c r="H12" s="18" t="s">
        <v>61</v>
      </c>
      <c r="I12" s="18" t="s">
        <v>91</v>
      </c>
      <c r="J12" s="30" t="s">
        <v>62</v>
      </c>
      <c r="K12" s="13" t="s">
        <v>97</v>
      </c>
      <c r="L12" s="17">
        <v>8</v>
      </c>
      <c r="M12" s="36"/>
      <c r="N12" s="41" t="s">
        <v>97</v>
      </c>
      <c r="O12" s="13" t="s">
        <v>97</v>
      </c>
    </row>
    <row r="13" spans="2:15" x14ac:dyDescent="0.35">
      <c r="B13" s="14">
        <v>9</v>
      </c>
      <c r="C13" s="11" t="s">
        <v>31</v>
      </c>
      <c r="D13" s="15">
        <v>0.39</v>
      </c>
      <c r="E13" s="16">
        <v>2</v>
      </c>
      <c r="F13" s="15">
        <f t="shared" si="0"/>
        <v>0.78</v>
      </c>
      <c r="G13" s="11" t="s">
        <v>32</v>
      </c>
      <c r="H13" s="11" t="s">
        <v>63</v>
      </c>
      <c r="I13" s="11" t="s">
        <v>92</v>
      </c>
      <c r="J13" s="29" t="s">
        <v>64</v>
      </c>
      <c r="K13" s="13" t="s">
        <v>97</v>
      </c>
      <c r="L13" s="14">
        <v>9</v>
      </c>
      <c r="M13" s="35"/>
      <c r="N13" s="40" t="s">
        <v>97</v>
      </c>
      <c r="O13" s="13" t="s">
        <v>97</v>
      </c>
    </row>
    <row r="14" spans="2:15" x14ac:dyDescent="0.35">
      <c r="B14" s="17">
        <v>10</v>
      </c>
      <c r="C14" s="18" t="s">
        <v>33</v>
      </c>
      <c r="D14" s="19">
        <v>7.49</v>
      </c>
      <c r="E14" s="20">
        <v>1</v>
      </c>
      <c r="F14" s="19">
        <f t="shared" si="0"/>
        <v>7.49</v>
      </c>
      <c r="G14" s="18" t="s">
        <v>32</v>
      </c>
      <c r="H14" s="18" t="s">
        <v>65</v>
      </c>
      <c r="I14" s="18" t="s">
        <v>93</v>
      </c>
      <c r="J14" s="30" t="s">
        <v>66</v>
      </c>
      <c r="K14" s="13" t="s">
        <v>97</v>
      </c>
      <c r="L14" s="17">
        <v>10</v>
      </c>
      <c r="M14" s="36"/>
      <c r="N14" s="41" t="s">
        <v>97</v>
      </c>
      <c r="O14" s="13" t="s">
        <v>97</v>
      </c>
    </row>
    <row r="15" spans="2:15" x14ac:dyDescent="0.35">
      <c r="B15" s="14">
        <v>11</v>
      </c>
      <c r="C15" s="11" t="s">
        <v>34</v>
      </c>
      <c r="D15" s="15">
        <v>4.93</v>
      </c>
      <c r="E15" s="16">
        <v>2</v>
      </c>
      <c r="F15" s="15">
        <f t="shared" si="0"/>
        <v>9.86</v>
      </c>
      <c r="G15" s="11" t="s">
        <v>35</v>
      </c>
      <c r="H15" s="11" t="s">
        <v>67</v>
      </c>
      <c r="I15" s="11" t="s">
        <v>34</v>
      </c>
      <c r="J15" s="29" t="s">
        <v>68</v>
      </c>
      <c r="K15" s="13" t="s">
        <v>97</v>
      </c>
      <c r="L15" s="14">
        <v>11</v>
      </c>
      <c r="M15" s="35"/>
      <c r="N15" s="40" t="s">
        <v>97</v>
      </c>
      <c r="O15" s="13" t="s">
        <v>97</v>
      </c>
    </row>
    <row r="16" spans="2:15" x14ac:dyDescent="0.35">
      <c r="B16" s="17">
        <v>12</v>
      </c>
      <c r="C16" s="18" t="s">
        <v>36</v>
      </c>
      <c r="D16" s="19">
        <v>4.3099999999999996</v>
      </c>
      <c r="E16" s="20">
        <v>1</v>
      </c>
      <c r="F16" s="19">
        <f t="shared" si="0"/>
        <v>4.3099999999999996</v>
      </c>
      <c r="G16" s="18" t="s">
        <v>37</v>
      </c>
      <c r="H16" s="18" t="s">
        <v>69</v>
      </c>
      <c r="I16" s="18" t="s">
        <v>94</v>
      </c>
      <c r="J16" s="30" t="s">
        <v>70</v>
      </c>
      <c r="K16" s="13" t="s">
        <v>97</v>
      </c>
      <c r="L16" s="17">
        <v>12</v>
      </c>
      <c r="M16" s="36"/>
      <c r="N16" s="41" t="s">
        <v>97</v>
      </c>
      <c r="O16" s="13" t="s">
        <v>97</v>
      </c>
    </row>
    <row r="17" spans="2:15" x14ac:dyDescent="0.35">
      <c r="B17" s="14">
        <v>13</v>
      </c>
      <c r="C17" s="11" t="s">
        <v>38</v>
      </c>
      <c r="D17" s="15">
        <v>0</v>
      </c>
      <c r="E17" s="16">
        <v>1</v>
      </c>
      <c r="F17" s="15">
        <f t="shared" si="0"/>
        <v>0</v>
      </c>
      <c r="G17" s="11" t="s">
        <v>39</v>
      </c>
      <c r="H17" s="11" t="s">
        <v>71</v>
      </c>
      <c r="I17" s="11" t="s">
        <v>72</v>
      </c>
      <c r="J17" s="31" t="s">
        <v>73</v>
      </c>
      <c r="K17" s="13" t="s">
        <v>97</v>
      </c>
      <c r="L17" s="14">
        <v>13</v>
      </c>
      <c r="M17" s="35"/>
      <c r="N17" s="40" t="s">
        <v>97</v>
      </c>
      <c r="O17" s="13" t="s">
        <v>97</v>
      </c>
    </row>
    <row r="18" spans="2:15" x14ac:dyDescent="0.35">
      <c r="B18" s="17">
        <v>14</v>
      </c>
      <c r="C18" s="18" t="s">
        <v>40</v>
      </c>
      <c r="D18" s="19">
        <v>0</v>
      </c>
      <c r="E18" s="20">
        <v>1</v>
      </c>
      <c r="F18" s="19">
        <f t="shared" si="0"/>
        <v>0</v>
      </c>
      <c r="G18" s="18" t="s">
        <v>39</v>
      </c>
      <c r="H18" s="18" t="s">
        <v>74</v>
      </c>
      <c r="I18" s="18" t="s">
        <v>72</v>
      </c>
      <c r="J18" s="32" t="s">
        <v>75</v>
      </c>
      <c r="K18" s="13" t="s">
        <v>97</v>
      </c>
      <c r="L18" s="17">
        <v>14</v>
      </c>
      <c r="M18" s="36"/>
      <c r="N18" s="41" t="s">
        <v>97</v>
      </c>
      <c r="O18" s="13" t="s">
        <v>97</v>
      </c>
    </row>
    <row r="19" spans="2:15" x14ac:dyDescent="0.35">
      <c r="B19" s="14">
        <v>15</v>
      </c>
      <c r="C19" s="11" t="s">
        <v>41</v>
      </c>
      <c r="D19" s="15">
        <v>0</v>
      </c>
      <c r="E19" s="16">
        <v>1</v>
      </c>
      <c r="F19" s="15">
        <f t="shared" si="0"/>
        <v>0</v>
      </c>
      <c r="G19" s="11" t="s">
        <v>39</v>
      </c>
      <c r="H19" s="11" t="s">
        <v>76</v>
      </c>
      <c r="I19" s="11" t="s">
        <v>72</v>
      </c>
      <c r="J19" s="31" t="s">
        <v>75</v>
      </c>
      <c r="K19" s="13" t="s">
        <v>97</v>
      </c>
      <c r="L19" s="14">
        <v>15</v>
      </c>
      <c r="M19" s="35"/>
      <c r="N19" s="40" t="s">
        <v>97</v>
      </c>
      <c r="O19" s="13" t="s">
        <v>97</v>
      </c>
    </row>
    <row r="20" spans="2:15" x14ac:dyDescent="0.35">
      <c r="B20" s="17">
        <v>16</v>
      </c>
      <c r="C20" s="18" t="s">
        <v>42</v>
      </c>
      <c r="D20" s="19">
        <v>0</v>
      </c>
      <c r="E20" s="20">
        <v>1</v>
      </c>
      <c r="F20" s="19">
        <f t="shared" si="0"/>
        <v>0</v>
      </c>
      <c r="G20" s="18" t="s">
        <v>39</v>
      </c>
      <c r="H20" s="18" t="s">
        <v>77</v>
      </c>
      <c r="I20" s="18" t="s">
        <v>72</v>
      </c>
      <c r="J20" s="32" t="s">
        <v>78</v>
      </c>
      <c r="K20" s="13" t="s">
        <v>97</v>
      </c>
      <c r="L20" s="17">
        <v>16</v>
      </c>
      <c r="M20" s="36"/>
      <c r="N20" s="41" t="s">
        <v>97</v>
      </c>
      <c r="O20" s="13" t="s">
        <v>97</v>
      </c>
    </row>
    <row r="21" spans="2:15" x14ac:dyDescent="0.35">
      <c r="B21" s="14">
        <v>17</v>
      </c>
      <c r="C21" s="11" t="s">
        <v>43</v>
      </c>
      <c r="D21" s="15">
        <v>0</v>
      </c>
      <c r="E21" s="16">
        <v>2</v>
      </c>
      <c r="F21" s="15">
        <f t="shared" si="0"/>
        <v>0</v>
      </c>
      <c r="G21" s="11" t="s">
        <v>39</v>
      </c>
      <c r="H21" s="11" t="s">
        <v>79</v>
      </c>
      <c r="I21" s="11" t="s">
        <v>72</v>
      </c>
      <c r="J21" s="31" t="s">
        <v>80</v>
      </c>
      <c r="K21" s="13" t="s">
        <v>97</v>
      </c>
      <c r="L21" s="14">
        <v>17</v>
      </c>
      <c r="M21" s="35"/>
      <c r="N21" s="40" t="s">
        <v>97</v>
      </c>
      <c r="O21" s="13" t="s">
        <v>97</v>
      </c>
    </row>
    <row r="22" spans="2:15" x14ac:dyDescent="0.35">
      <c r="B22" s="17">
        <v>18</v>
      </c>
      <c r="C22" s="18" t="s">
        <v>44</v>
      </c>
      <c r="D22" s="19">
        <v>0</v>
      </c>
      <c r="E22" s="20">
        <v>2</v>
      </c>
      <c r="F22" s="19">
        <f t="shared" si="0"/>
        <v>0</v>
      </c>
      <c r="G22" s="18" t="s">
        <v>45</v>
      </c>
      <c r="H22" s="18" t="s">
        <v>81</v>
      </c>
      <c r="I22" s="18" t="s">
        <v>72</v>
      </c>
      <c r="J22" s="32" t="s">
        <v>82</v>
      </c>
      <c r="K22" s="13" t="s">
        <v>97</v>
      </c>
      <c r="L22" s="17">
        <v>18</v>
      </c>
      <c r="M22" s="36"/>
      <c r="N22" s="41" t="s">
        <v>97</v>
      </c>
      <c r="O22" s="13" t="s">
        <v>97</v>
      </c>
    </row>
    <row r="23" spans="2:15" x14ac:dyDescent="0.35">
      <c r="B23" s="14">
        <v>19</v>
      </c>
      <c r="C23" s="11" t="s">
        <v>46</v>
      </c>
      <c r="D23" s="15">
        <v>0</v>
      </c>
      <c r="E23" s="16">
        <v>1</v>
      </c>
      <c r="F23" s="15">
        <f t="shared" si="0"/>
        <v>0</v>
      </c>
      <c r="G23" s="11" t="s">
        <v>45</v>
      </c>
      <c r="H23" s="11" t="s">
        <v>83</v>
      </c>
      <c r="I23" s="11" t="s">
        <v>72</v>
      </c>
      <c r="J23" s="31" t="s">
        <v>82</v>
      </c>
      <c r="K23" s="13" t="s">
        <v>97</v>
      </c>
      <c r="L23" s="14">
        <v>19</v>
      </c>
      <c r="M23" s="35"/>
      <c r="N23" s="40" t="s">
        <v>97</v>
      </c>
      <c r="O23" s="13" t="s">
        <v>97</v>
      </c>
    </row>
    <row r="24" spans="2:15" ht="15" thickBot="1" x14ac:dyDescent="0.4">
      <c r="B24" s="21"/>
      <c r="C24" s="22"/>
      <c r="D24" s="83" t="s">
        <v>96</v>
      </c>
      <c r="E24" s="83"/>
      <c r="F24" s="23">
        <f>SUM(F5:F23)</f>
        <v>222.94000000000005</v>
      </c>
      <c r="G24" s="22"/>
      <c r="H24" s="22"/>
      <c r="I24" s="22"/>
      <c r="J24" s="6"/>
      <c r="K24" s="13" t="s">
        <v>97</v>
      </c>
      <c r="L24" s="34"/>
      <c r="M24" s="37"/>
      <c r="N24" s="38"/>
      <c r="O24" s="13" t="s">
        <v>97</v>
      </c>
    </row>
    <row r="27" spans="2:15" x14ac:dyDescent="0.35">
      <c r="B27" s="28" t="s">
        <v>99</v>
      </c>
      <c r="C27" s="2" t="s">
        <v>100</v>
      </c>
    </row>
    <row r="28" spans="2:15" ht="15" thickBot="1" x14ac:dyDescent="0.4"/>
    <row r="29" spans="2:15" x14ac:dyDescent="0.35">
      <c r="B29" s="24" t="s">
        <v>6</v>
      </c>
      <c r="C29" s="25" t="s">
        <v>7</v>
      </c>
      <c r="D29" s="25" t="s">
        <v>8</v>
      </c>
      <c r="E29" s="26" t="s">
        <v>9</v>
      </c>
      <c r="F29" s="25" t="s">
        <v>10</v>
      </c>
      <c r="G29" s="25" t="s">
        <v>11</v>
      </c>
      <c r="H29" s="25" t="s">
        <v>12</v>
      </c>
      <c r="I29" s="25" t="s">
        <v>13</v>
      </c>
      <c r="J29" s="27" t="s">
        <v>14</v>
      </c>
      <c r="L29" s="24" t="s">
        <v>6</v>
      </c>
      <c r="M29" s="25" t="s">
        <v>290</v>
      </c>
      <c r="N29" s="27" t="s">
        <v>291</v>
      </c>
    </row>
    <row r="30" spans="2:15" x14ac:dyDescent="0.35">
      <c r="B30" s="14">
        <v>1</v>
      </c>
      <c r="C30" s="11" t="s">
        <v>101</v>
      </c>
      <c r="D30" s="15">
        <v>5.09</v>
      </c>
      <c r="E30" s="16">
        <v>2</v>
      </c>
      <c r="F30" s="15">
        <f>D30*E30</f>
        <v>10.18</v>
      </c>
      <c r="G30" s="11" t="s">
        <v>121</v>
      </c>
      <c r="H30" s="11" t="s">
        <v>134</v>
      </c>
      <c r="I30" s="11" t="s">
        <v>172</v>
      </c>
      <c r="J30" s="62" t="s">
        <v>135</v>
      </c>
      <c r="K30" s="13" t="s">
        <v>97</v>
      </c>
      <c r="L30" s="14">
        <v>1</v>
      </c>
      <c r="M30" s="35"/>
      <c r="N30" s="40" t="s">
        <v>97</v>
      </c>
      <c r="O30" s="13" t="s">
        <v>97</v>
      </c>
    </row>
    <row r="31" spans="2:15" x14ac:dyDescent="0.35">
      <c r="B31" s="17">
        <v>2</v>
      </c>
      <c r="C31" s="18" t="s">
        <v>102</v>
      </c>
      <c r="D31" s="19">
        <v>2.94</v>
      </c>
      <c r="E31" s="20">
        <v>2</v>
      </c>
      <c r="F31" s="19">
        <f t="shared" ref="F31:F46" si="1">D31*E31</f>
        <v>5.88</v>
      </c>
      <c r="G31" s="18" t="s">
        <v>122</v>
      </c>
      <c r="H31" s="18" t="s">
        <v>136</v>
      </c>
      <c r="I31" s="18" t="s">
        <v>173</v>
      </c>
      <c r="J31" s="63" t="s">
        <v>137</v>
      </c>
      <c r="K31" s="13" t="s">
        <v>97</v>
      </c>
      <c r="L31" s="17">
        <v>2</v>
      </c>
      <c r="M31" s="36"/>
      <c r="N31" s="41" t="s">
        <v>97</v>
      </c>
      <c r="O31" s="13" t="s">
        <v>97</v>
      </c>
    </row>
    <row r="32" spans="2:15" x14ac:dyDescent="0.35">
      <c r="B32" s="14">
        <v>3</v>
      </c>
      <c r="C32" s="11" t="s">
        <v>103</v>
      </c>
      <c r="D32" s="15">
        <v>2.64</v>
      </c>
      <c r="E32" s="16">
        <v>1</v>
      </c>
      <c r="F32" s="15">
        <f t="shared" si="1"/>
        <v>2.64</v>
      </c>
      <c r="G32" s="11" t="s">
        <v>122</v>
      </c>
      <c r="H32" s="11" t="s">
        <v>138</v>
      </c>
      <c r="I32" s="11" t="s">
        <v>174</v>
      </c>
      <c r="J32" s="62" t="s">
        <v>139</v>
      </c>
      <c r="K32" s="13" t="s">
        <v>97</v>
      </c>
      <c r="L32" s="14">
        <v>3</v>
      </c>
      <c r="M32" s="35"/>
      <c r="N32" s="40" t="s">
        <v>97</v>
      </c>
      <c r="O32" s="13" t="s">
        <v>97</v>
      </c>
    </row>
    <row r="33" spans="2:15" x14ac:dyDescent="0.35">
      <c r="B33" s="17">
        <v>4</v>
      </c>
      <c r="C33" s="18" t="s">
        <v>104</v>
      </c>
      <c r="D33" s="19">
        <v>3.31</v>
      </c>
      <c r="E33" s="20">
        <v>1</v>
      </c>
      <c r="F33" s="19">
        <f t="shared" si="1"/>
        <v>3.31</v>
      </c>
      <c r="G33" s="18" t="s">
        <v>122</v>
      </c>
      <c r="H33" s="18" t="s">
        <v>140</v>
      </c>
      <c r="I33" s="18" t="s">
        <v>175</v>
      </c>
      <c r="J33" s="63" t="s">
        <v>141</v>
      </c>
      <c r="K33" s="13" t="s">
        <v>97</v>
      </c>
      <c r="L33" s="17">
        <v>4</v>
      </c>
      <c r="M33" s="36"/>
      <c r="N33" s="41" t="s">
        <v>97</v>
      </c>
      <c r="O33" s="13" t="s">
        <v>97</v>
      </c>
    </row>
    <row r="34" spans="2:15" x14ac:dyDescent="0.35">
      <c r="B34" s="14">
        <v>5</v>
      </c>
      <c r="C34" s="11" t="s">
        <v>105</v>
      </c>
      <c r="D34" s="15">
        <v>5.38</v>
      </c>
      <c r="E34" s="16">
        <v>1</v>
      </c>
      <c r="F34" s="15">
        <f t="shared" si="1"/>
        <v>5.38</v>
      </c>
      <c r="G34" s="11" t="s">
        <v>122</v>
      </c>
      <c r="H34" s="11" t="s">
        <v>142</v>
      </c>
      <c r="I34" s="11" t="s">
        <v>176</v>
      </c>
      <c r="J34" s="62" t="s">
        <v>143</v>
      </c>
      <c r="K34" s="13" t="s">
        <v>97</v>
      </c>
      <c r="L34" s="14">
        <v>5</v>
      </c>
      <c r="M34" s="35"/>
      <c r="N34" s="40" t="s">
        <v>97</v>
      </c>
      <c r="O34" s="13" t="s">
        <v>97</v>
      </c>
    </row>
    <row r="35" spans="2:15" x14ac:dyDescent="0.35">
      <c r="B35" s="17">
        <v>6</v>
      </c>
      <c r="C35" s="18" t="s">
        <v>106</v>
      </c>
      <c r="D35" s="19">
        <v>30.36</v>
      </c>
      <c r="E35" s="20">
        <v>1</v>
      </c>
      <c r="F35" s="19">
        <f t="shared" si="1"/>
        <v>30.36</v>
      </c>
      <c r="G35" s="18" t="s">
        <v>123</v>
      </c>
      <c r="H35" s="18" t="s">
        <v>144</v>
      </c>
      <c r="I35" s="18" t="s">
        <v>177</v>
      </c>
      <c r="J35" s="63" t="s">
        <v>145</v>
      </c>
      <c r="K35" s="13" t="s">
        <v>97</v>
      </c>
      <c r="L35" s="17">
        <v>6</v>
      </c>
      <c r="M35" s="36"/>
      <c r="N35" s="41" t="s">
        <v>97</v>
      </c>
      <c r="O35" s="13" t="s">
        <v>97</v>
      </c>
    </row>
    <row r="36" spans="2:15" x14ac:dyDescent="0.35">
      <c r="B36" s="14">
        <v>7</v>
      </c>
      <c r="C36" s="11" t="s">
        <v>107</v>
      </c>
      <c r="D36" s="15">
        <v>19.32</v>
      </c>
      <c r="E36" s="16">
        <v>1</v>
      </c>
      <c r="F36" s="15">
        <f t="shared" si="1"/>
        <v>19.32</v>
      </c>
      <c r="G36" s="11" t="s">
        <v>124</v>
      </c>
      <c r="H36" s="11" t="s">
        <v>146</v>
      </c>
      <c r="I36" s="11" t="s">
        <v>178</v>
      </c>
      <c r="J36" s="62" t="s">
        <v>147</v>
      </c>
      <c r="K36" s="13" t="s">
        <v>97</v>
      </c>
      <c r="L36" s="14">
        <v>7</v>
      </c>
      <c r="M36" s="35"/>
      <c r="N36" s="40" t="s">
        <v>97</v>
      </c>
      <c r="O36" s="13" t="s">
        <v>97</v>
      </c>
    </row>
    <row r="37" spans="2:15" x14ac:dyDescent="0.35">
      <c r="B37" s="17">
        <v>8</v>
      </c>
      <c r="C37" s="18" t="s">
        <v>108</v>
      </c>
      <c r="D37" s="19">
        <v>27.61</v>
      </c>
      <c r="E37" s="20">
        <v>1</v>
      </c>
      <c r="F37" s="19">
        <f t="shared" si="1"/>
        <v>27.61</v>
      </c>
      <c r="G37" s="18" t="s">
        <v>125</v>
      </c>
      <c r="H37" s="18" t="s">
        <v>148</v>
      </c>
      <c r="I37" s="18" t="s">
        <v>179</v>
      </c>
      <c r="J37" s="63" t="s">
        <v>149</v>
      </c>
      <c r="K37" s="13" t="s">
        <v>97</v>
      </c>
      <c r="L37" s="17">
        <v>8</v>
      </c>
      <c r="M37" s="36"/>
      <c r="N37" s="41" t="s">
        <v>97</v>
      </c>
      <c r="O37" s="13" t="s">
        <v>97</v>
      </c>
    </row>
    <row r="38" spans="2:15" x14ac:dyDescent="0.35">
      <c r="B38" s="14">
        <v>9</v>
      </c>
      <c r="C38" s="11" t="s">
        <v>109</v>
      </c>
      <c r="D38" s="15">
        <v>4.47</v>
      </c>
      <c r="E38" s="16">
        <v>1</v>
      </c>
      <c r="F38" s="15">
        <f t="shared" si="1"/>
        <v>4.47</v>
      </c>
      <c r="G38" s="11" t="s">
        <v>126</v>
      </c>
      <c r="H38" s="11" t="s">
        <v>150</v>
      </c>
      <c r="I38" s="11" t="s">
        <v>180</v>
      </c>
      <c r="J38" s="62" t="s">
        <v>151</v>
      </c>
      <c r="K38" s="13" t="s">
        <v>97</v>
      </c>
      <c r="L38" s="14">
        <v>9</v>
      </c>
      <c r="M38" s="35"/>
      <c r="N38" s="40" t="s">
        <v>97</v>
      </c>
      <c r="O38" s="13" t="s">
        <v>97</v>
      </c>
    </row>
    <row r="39" spans="2:15" x14ac:dyDescent="0.35">
      <c r="B39" s="17">
        <v>10</v>
      </c>
      <c r="C39" s="18" t="s">
        <v>110</v>
      </c>
      <c r="D39" s="19">
        <v>3.65</v>
      </c>
      <c r="E39" s="20">
        <v>1</v>
      </c>
      <c r="F39" s="19">
        <f t="shared" si="1"/>
        <v>3.65</v>
      </c>
      <c r="G39" s="18" t="s">
        <v>127</v>
      </c>
      <c r="H39" s="18" t="s">
        <v>152</v>
      </c>
      <c r="I39" s="18" t="s">
        <v>181</v>
      </c>
      <c r="J39" s="63" t="s">
        <v>153</v>
      </c>
      <c r="K39" s="13" t="s">
        <v>97</v>
      </c>
      <c r="L39" s="17">
        <v>10</v>
      </c>
      <c r="M39" s="36"/>
      <c r="N39" s="41" t="s">
        <v>97</v>
      </c>
      <c r="O39" s="13" t="s">
        <v>97</v>
      </c>
    </row>
    <row r="40" spans="2:15" x14ac:dyDescent="0.35">
      <c r="B40" s="14">
        <v>11</v>
      </c>
      <c r="C40" s="11" t="s">
        <v>111</v>
      </c>
      <c r="D40" s="15">
        <v>11.5</v>
      </c>
      <c r="E40" s="16">
        <v>1</v>
      </c>
      <c r="F40" s="15">
        <f t="shared" si="1"/>
        <v>11.5</v>
      </c>
      <c r="G40" s="11" t="s">
        <v>128</v>
      </c>
      <c r="H40" s="11" t="s">
        <v>154</v>
      </c>
      <c r="I40" s="11" t="s">
        <v>182</v>
      </c>
      <c r="J40" s="62" t="s">
        <v>155</v>
      </c>
      <c r="K40" s="13" t="s">
        <v>97</v>
      </c>
      <c r="L40" s="14">
        <v>11</v>
      </c>
      <c r="M40" s="35"/>
      <c r="N40" s="40" t="s">
        <v>97</v>
      </c>
      <c r="O40" s="13" t="s">
        <v>97</v>
      </c>
    </row>
    <row r="41" spans="2:15" x14ac:dyDescent="0.35">
      <c r="B41" s="17">
        <v>12</v>
      </c>
      <c r="C41" s="18" t="s">
        <v>112</v>
      </c>
      <c r="D41" s="19">
        <v>15</v>
      </c>
      <c r="E41" s="20">
        <v>1</v>
      </c>
      <c r="F41" s="19">
        <f t="shared" si="1"/>
        <v>15</v>
      </c>
      <c r="G41" s="18" t="s">
        <v>129</v>
      </c>
      <c r="H41" s="18" t="s">
        <v>156</v>
      </c>
      <c r="I41" s="18" t="s">
        <v>183</v>
      </c>
      <c r="J41" s="63" t="s">
        <v>157</v>
      </c>
      <c r="K41" s="13" t="s">
        <v>97</v>
      </c>
      <c r="L41" s="17">
        <v>12</v>
      </c>
      <c r="M41" s="36"/>
      <c r="N41" s="41" t="s">
        <v>97</v>
      </c>
      <c r="O41" s="13" t="s">
        <v>97</v>
      </c>
    </row>
    <row r="42" spans="2:15" x14ac:dyDescent="0.35">
      <c r="B42" s="14">
        <v>13</v>
      </c>
      <c r="C42" s="11" t="s">
        <v>113</v>
      </c>
      <c r="D42" s="15">
        <v>2.16</v>
      </c>
      <c r="E42" s="16">
        <v>1</v>
      </c>
      <c r="F42" s="15">
        <f t="shared" si="1"/>
        <v>2.16</v>
      </c>
      <c r="G42" s="11" t="s">
        <v>130</v>
      </c>
      <c r="H42" s="11" t="s">
        <v>158</v>
      </c>
      <c r="I42" s="11" t="s">
        <v>184</v>
      </c>
      <c r="J42" s="62" t="s">
        <v>159</v>
      </c>
      <c r="K42" s="13" t="s">
        <v>97</v>
      </c>
      <c r="L42" s="14">
        <v>13</v>
      </c>
      <c r="M42" s="35"/>
      <c r="N42" s="40" t="s">
        <v>97</v>
      </c>
      <c r="O42" s="13" t="s">
        <v>97</v>
      </c>
    </row>
    <row r="43" spans="2:15" x14ac:dyDescent="0.35">
      <c r="B43" s="17">
        <v>14</v>
      </c>
      <c r="C43" s="18" t="s">
        <v>114</v>
      </c>
      <c r="D43" s="19">
        <v>3.95</v>
      </c>
      <c r="E43" s="20">
        <v>2</v>
      </c>
      <c r="F43" s="19">
        <f t="shared" si="1"/>
        <v>7.9</v>
      </c>
      <c r="G43" s="18" t="s">
        <v>130</v>
      </c>
      <c r="H43" s="18" t="s">
        <v>160</v>
      </c>
      <c r="I43" s="18" t="s">
        <v>185</v>
      </c>
      <c r="J43" s="63" t="s">
        <v>161</v>
      </c>
      <c r="K43" s="13" t="s">
        <v>97</v>
      </c>
      <c r="L43" s="17">
        <v>14</v>
      </c>
      <c r="M43" s="36"/>
      <c r="N43" s="41" t="s">
        <v>97</v>
      </c>
      <c r="O43" s="13" t="s">
        <v>97</v>
      </c>
    </row>
    <row r="44" spans="2:15" x14ac:dyDescent="0.35">
      <c r="B44" s="14">
        <v>15</v>
      </c>
      <c r="C44" s="11" t="s">
        <v>115</v>
      </c>
      <c r="D44" s="15">
        <v>4.3899999999999997</v>
      </c>
      <c r="E44" s="16">
        <v>1</v>
      </c>
      <c r="F44" s="15">
        <f t="shared" si="1"/>
        <v>4.3899999999999997</v>
      </c>
      <c r="G44" s="11" t="s">
        <v>131</v>
      </c>
      <c r="H44" s="11" t="s">
        <v>162</v>
      </c>
      <c r="I44" s="11" t="s">
        <v>186</v>
      </c>
      <c r="J44" s="62" t="s">
        <v>163</v>
      </c>
      <c r="K44" s="13" t="s">
        <v>97</v>
      </c>
      <c r="L44" s="14">
        <v>15</v>
      </c>
      <c r="M44" s="35"/>
      <c r="N44" s="40" t="s">
        <v>97</v>
      </c>
      <c r="O44" s="13" t="s">
        <v>97</v>
      </c>
    </row>
    <row r="45" spans="2:15" x14ac:dyDescent="0.35">
      <c r="B45" s="17">
        <v>16</v>
      </c>
      <c r="C45" s="18" t="s">
        <v>116</v>
      </c>
      <c r="D45" s="19">
        <v>4.25</v>
      </c>
      <c r="E45" s="20">
        <v>1</v>
      </c>
      <c r="F45" s="19">
        <f t="shared" si="1"/>
        <v>4.25</v>
      </c>
      <c r="G45" s="18" t="s">
        <v>132</v>
      </c>
      <c r="H45" s="18" t="s">
        <v>164</v>
      </c>
      <c r="I45" s="18" t="s">
        <v>187</v>
      </c>
      <c r="J45" s="63" t="s">
        <v>165</v>
      </c>
      <c r="K45" s="13" t="s">
        <v>97</v>
      </c>
      <c r="L45" s="17">
        <v>16</v>
      </c>
      <c r="M45" s="36"/>
      <c r="N45" s="41" t="s">
        <v>97</v>
      </c>
      <c r="O45" s="13" t="s">
        <v>97</v>
      </c>
    </row>
    <row r="46" spans="2:15" x14ac:dyDescent="0.35">
      <c r="B46" s="14">
        <v>17</v>
      </c>
      <c r="C46" s="11" t="s">
        <v>117</v>
      </c>
      <c r="D46" s="15">
        <v>2.66</v>
      </c>
      <c r="E46" s="16">
        <v>1</v>
      </c>
      <c r="F46" s="15">
        <f t="shared" si="1"/>
        <v>2.66</v>
      </c>
      <c r="G46" s="11" t="s">
        <v>133</v>
      </c>
      <c r="H46" s="11" t="s">
        <v>166</v>
      </c>
      <c r="I46" s="11" t="s">
        <v>188</v>
      </c>
      <c r="J46" s="62" t="s">
        <v>167</v>
      </c>
      <c r="K46" s="13" t="s">
        <v>97</v>
      </c>
      <c r="L46" s="14">
        <v>17</v>
      </c>
      <c r="M46" s="35"/>
      <c r="N46" s="40" t="s">
        <v>97</v>
      </c>
      <c r="O46" s="13" t="s">
        <v>97</v>
      </c>
    </row>
    <row r="47" spans="2:15" x14ac:dyDescent="0.35">
      <c r="B47" s="17">
        <v>18</v>
      </c>
      <c r="C47" s="18" t="s">
        <v>118</v>
      </c>
      <c r="D47" s="19">
        <v>0</v>
      </c>
      <c r="E47" s="20">
        <v>1</v>
      </c>
      <c r="F47" s="19">
        <f>D47*E47</f>
        <v>0</v>
      </c>
      <c r="G47" s="18" t="s">
        <v>39</v>
      </c>
      <c r="H47" s="18" t="s">
        <v>168</v>
      </c>
      <c r="I47" s="18"/>
      <c r="J47" s="32" t="s">
        <v>169</v>
      </c>
      <c r="K47" s="13" t="s">
        <v>97</v>
      </c>
      <c r="L47" s="17">
        <v>18</v>
      </c>
      <c r="M47" s="36"/>
      <c r="N47" s="41" t="s">
        <v>97</v>
      </c>
      <c r="O47" s="13" t="s">
        <v>97</v>
      </c>
    </row>
    <row r="48" spans="2:15" x14ac:dyDescent="0.35">
      <c r="B48" s="14">
        <v>19</v>
      </c>
      <c r="C48" s="11" t="s">
        <v>119</v>
      </c>
      <c r="D48" s="15">
        <v>0</v>
      </c>
      <c r="E48" s="16">
        <v>1</v>
      </c>
      <c r="F48" s="15">
        <f>D48*E48</f>
        <v>0</v>
      </c>
      <c r="G48" s="11" t="s">
        <v>39</v>
      </c>
      <c r="H48" s="11" t="s">
        <v>170</v>
      </c>
      <c r="I48" s="11"/>
      <c r="J48" s="31" t="s">
        <v>169</v>
      </c>
      <c r="K48" s="13" t="s">
        <v>97</v>
      </c>
      <c r="L48" s="14">
        <v>19</v>
      </c>
      <c r="M48" s="35"/>
      <c r="N48" s="40" t="s">
        <v>97</v>
      </c>
      <c r="O48" s="13" t="s">
        <v>97</v>
      </c>
    </row>
    <row r="49" spans="2:15" x14ac:dyDescent="0.35">
      <c r="B49" s="17">
        <v>20</v>
      </c>
      <c r="C49" s="18" t="s">
        <v>120</v>
      </c>
      <c r="D49" s="19">
        <v>0</v>
      </c>
      <c r="E49" s="20">
        <v>1</v>
      </c>
      <c r="F49" s="19">
        <f>D49*E49</f>
        <v>0</v>
      </c>
      <c r="G49" s="18" t="s">
        <v>45</v>
      </c>
      <c r="H49" s="18" t="s">
        <v>171</v>
      </c>
      <c r="I49" s="18"/>
      <c r="J49" s="32" t="s">
        <v>82</v>
      </c>
      <c r="K49" s="13" t="s">
        <v>97</v>
      </c>
      <c r="L49" s="17">
        <v>20</v>
      </c>
      <c r="M49" s="36"/>
      <c r="N49" s="41" t="s">
        <v>97</v>
      </c>
      <c r="O49" s="13" t="s">
        <v>97</v>
      </c>
    </row>
    <row r="50" spans="2:15" ht="15" thickBot="1" x14ac:dyDescent="0.4">
      <c r="B50" s="21"/>
      <c r="C50" s="22"/>
      <c r="D50" s="83" t="s">
        <v>96</v>
      </c>
      <c r="E50" s="83"/>
      <c r="F50" s="23">
        <f>SUM(F30:F49)</f>
        <v>160.66</v>
      </c>
      <c r="G50" s="22"/>
      <c r="H50" s="22"/>
      <c r="I50" s="22"/>
      <c r="J50" s="6"/>
      <c r="K50" s="13" t="s">
        <v>97</v>
      </c>
      <c r="L50" s="34"/>
      <c r="M50" s="37"/>
      <c r="N50" s="38"/>
    </row>
    <row r="53" spans="2:15" x14ac:dyDescent="0.35">
      <c r="B53" s="28" t="s">
        <v>189</v>
      </c>
      <c r="C53" s="2" t="s">
        <v>190</v>
      </c>
    </row>
    <row r="54" spans="2:15" ht="15" thickBot="1" x14ac:dyDescent="0.4"/>
    <row r="55" spans="2:15" x14ac:dyDescent="0.35">
      <c r="B55" s="24" t="s">
        <v>6</v>
      </c>
      <c r="C55" s="25" t="s">
        <v>7</v>
      </c>
      <c r="D55" s="25" t="s">
        <v>8</v>
      </c>
      <c r="E55" s="26" t="s">
        <v>9</v>
      </c>
      <c r="F55" s="25" t="s">
        <v>10</v>
      </c>
      <c r="G55" s="25" t="s">
        <v>11</v>
      </c>
      <c r="H55" s="25" t="s">
        <v>12</v>
      </c>
      <c r="I55" s="25" t="s">
        <v>13</v>
      </c>
      <c r="J55" s="27" t="s">
        <v>14</v>
      </c>
      <c r="L55" s="24" t="s">
        <v>6</v>
      </c>
      <c r="M55" s="25" t="s">
        <v>290</v>
      </c>
      <c r="N55" s="27" t="s">
        <v>291</v>
      </c>
    </row>
    <row r="56" spans="2:15" x14ac:dyDescent="0.35">
      <c r="B56" s="14">
        <v>1</v>
      </c>
      <c r="C56" s="11" t="s">
        <v>200</v>
      </c>
      <c r="D56" s="15">
        <v>2.2799999999999998</v>
      </c>
      <c r="E56" s="16">
        <v>1</v>
      </c>
      <c r="F56" s="15">
        <f>D56*E56</f>
        <v>2.2799999999999998</v>
      </c>
      <c r="G56" s="11" t="s">
        <v>235</v>
      </c>
      <c r="H56" s="11" t="s">
        <v>239</v>
      </c>
      <c r="I56" s="11" t="s">
        <v>240</v>
      </c>
      <c r="J56" s="66" t="s">
        <v>476</v>
      </c>
      <c r="K56" s="13" t="s">
        <v>97</v>
      </c>
      <c r="L56" s="14">
        <v>1</v>
      </c>
      <c r="M56" s="35"/>
      <c r="N56" s="40" t="s">
        <v>97</v>
      </c>
      <c r="O56" s="13" t="s">
        <v>97</v>
      </c>
    </row>
    <row r="57" spans="2:15" x14ac:dyDescent="0.35">
      <c r="B57" s="17">
        <v>2</v>
      </c>
      <c r="C57" s="18" t="s">
        <v>191</v>
      </c>
      <c r="D57" s="19">
        <v>28.99</v>
      </c>
      <c r="E57" s="20">
        <v>1</v>
      </c>
      <c r="F57" s="19">
        <f>D57*E57</f>
        <v>28.99</v>
      </c>
      <c r="G57" s="18" t="s">
        <v>206</v>
      </c>
      <c r="H57" s="18" t="s">
        <v>207</v>
      </c>
      <c r="I57" s="18" t="s">
        <v>208</v>
      </c>
      <c r="J57" s="67" t="s">
        <v>209</v>
      </c>
      <c r="K57" s="13" t="s">
        <v>97</v>
      </c>
      <c r="L57" s="17">
        <v>2</v>
      </c>
      <c r="M57" s="36"/>
      <c r="N57" s="41" t="s">
        <v>97</v>
      </c>
      <c r="O57" s="13" t="s">
        <v>97</v>
      </c>
    </row>
    <row r="58" spans="2:15" x14ac:dyDescent="0.35">
      <c r="B58" s="14">
        <v>3</v>
      </c>
      <c r="C58" s="11" t="s">
        <v>192</v>
      </c>
      <c r="D58" s="15">
        <v>17.260000000000002</v>
      </c>
      <c r="E58" s="16">
        <v>2</v>
      </c>
      <c r="F58" s="15">
        <f>D58*E58</f>
        <v>34.520000000000003</v>
      </c>
      <c r="G58" s="11" t="s">
        <v>210</v>
      </c>
      <c r="H58" s="11" t="s">
        <v>211</v>
      </c>
      <c r="I58" s="11" t="s">
        <v>212</v>
      </c>
      <c r="J58" s="66" t="s">
        <v>213</v>
      </c>
      <c r="K58" s="13" t="s">
        <v>97</v>
      </c>
      <c r="L58" s="14">
        <v>3</v>
      </c>
      <c r="M58" s="35"/>
      <c r="N58" s="40" t="s">
        <v>97</v>
      </c>
      <c r="O58" s="13" t="s">
        <v>97</v>
      </c>
    </row>
    <row r="59" spans="2:15" x14ac:dyDescent="0.35">
      <c r="B59" s="17">
        <v>4</v>
      </c>
      <c r="C59" s="18" t="s">
        <v>193</v>
      </c>
      <c r="D59" s="19">
        <v>2.02</v>
      </c>
      <c r="E59" s="20">
        <v>1</v>
      </c>
      <c r="F59" s="19">
        <f t="shared" ref="F59:F70" si="2">D59*E59</f>
        <v>2.02</v>
      </c>
      <c r="G59" s="18" t="s">
        <v>214</v>
      </c>
      <c r="H59" s="18" t="s">
        <v>215</v>
      </c>
      <c r="I59" s="18" t="s">
        <v>216</v>
      </c>
      <c r="J59" s="67" t="s">
        <v>217</v>
      </c>
      <c r="K59" s="13" t="s">
        <v>97</v>
      </c>
      <c r="L59" s="17">
        <v>4</v>
      </c>
      <c r="M59" s="36"/>
      <c r="N59" s="41" t="s">
        <v>97</v>
      </c>
      <c r="O59" s="13" t="s">
        <v>97</v>
      </c>
    </row>
    <row r="60" spans="2:15" x14ac:dyDescent="0.35">
      <c r="B60" s="14">
        <v>5</v>
      </c>
      <c r="C60" s="11" t="s">
        <v>194</v>
      </c>
      <c r="D60" s="15">
        <v>1.9</v>
      </c>
      <c r="E60" s="16">
        <v>1</v>
      </c>
      <c r="F60" s="15">
        <f t="shared" si="2"/>
        <v>1.9</v>
      </c>
      <c r="G60" s="11" t="s">
        <v>218</v>
      </c>
      <c r="H60" s="11" t="s">
        <v>219</v>
      </c>
      <c r="I60" s="11" t="s">
        <v>220</v>
      </c>
      <c r="J60" s="66" t="s">
        <v>221</v>
      </c>
      <c r="K60" s="13" t="s">
        <v>97</v>
      </c>
      <c r="L60" s="14">
        <v>5</v>
      </c>
      <c r="M60" s="35"/>
      <c r="N60" s="40" t="s">
        <v>97</v>
      </c>
      <c r="O60" s="13" t="s">
        <v>97</v>
      </c>
    </row>
    <row r="61" spans="2:15" x14ac:dyDescent="0.35">
      <c r="B61" s="17">
        <v>6</v>
      </c>
      <c r="C61" s="18" t="s">
        <v>195</v>
      </c>
      <c r="D61" s="19">
        <v>3.98</v>
      </c>
      <c r="E61" s="20">
        <v>1</v>
      </c>
      <c r="F61" s="19">
        <f t="shared" si="2"/>
        <v>3.98</v>
      </c>
      <c r="G61" s="18" t="s">
        <v>214</v>
      </c>
      <c r="H61" s="18" t="s">
        <v>222</v>
      </c>
      <c r="I61" s="18" t="s">
        <v>223</v>
      </c>
      <c r="J61" s="67" t="s">
        <v>224</v>
      </c>
      <c r="K61" s="13" t="s">
        <v>97</v>
      </c>
      <c r="L61" s="17">
        <v>6</v>
      </c>
      <c r="M61" s="36"/>
      <c r="N61" s="41" t="s">
        <v>97</v>
      </c>
      <c r="O61" s="13" t="s">
        <v>97</v>
      </c>
    </row>
    <row r="62" spans="2:15" x14ac:dyDescent="0.35">
      <c r="B62" s="14">
        <v>7</v>
      </c>
      <c r="C62" s="11" t="s">
        <v>196</v>
      </c>
      <c r="D62" s="15">
        <v>10.56</v>
      </c>
      <c r="E62" s="16">
        <v>1</v>
      </c>
      <c r="F62" s="15">
        <f t="shared" si="2"/>
        <v>10.56</v>
      </c>
      <c r="G62" s="11" t="s">
        <v>225</v>
      </c>
      <c r="H62" s="11" t="s">
        <v>226</v>
      </c>
      <c r="I62" s="11" t="s">
        <v>227</v>
      </c>
      <c r="J62" s="66" t="s">
        <v>228</v>
      </c>
      <c r="K62" s="13" t="s">
        <v>97</v>
      </c>
      <c r="L62" s="14">
        <v>7</v>
      </c>
      <c r="M62" s="35"/>
      <c r="N62" s="40" t="s">
        <v>97</v>
      </c>
      <c r="O62" s="13" t="s">
        <v>97</v>
      </c>
    </row>
    <row r="63" spans="2:15" x14ac:dyDescent="0.35">
      <c r="B63" s="17">
        <v>8</v>
      </c>
      <c r="C63" s="18" t="s">
        <v>197</v>
      </c>
      <c r="D63" s="19">
        <v>3.43</v>
      </c>
      <c r="E63" s="20">
        <v>1</v>
      </c>
      <c r="F63" s="19">
        <f t="shared" si="2"/>
        <v>3.43</v>
      </c>
      <c r="G63" s="18" t="s">
        <v>218</v>
      </c>
      <c r="H63" s="18" t="s">
        <v>229</v>
      </c>
      <c r="I63" s="18" t="s">
        <v>230</v>
      </c>
      <c r="J63" s="67" t="s">
        <v>231</v>
      </c>
      <c r="K63" s="13" t="s">
        <v>97</v>
      </c>
      <c r="L63" s="17">
        <v>8</v>
      </c>
      <c r="M63" s="36"/>
      <c r="N63" s="41" t="s">
        <v>97</v>
      </c>
      <c r="O63" s="13" t="s">
        <v>97</v>
      </c>
    </row>
    <row r="64" spans="2:15" x14ac:dyDescent="0.35">
      <c r="B64" s="14">
        <v>9</v>
      </c>
      <c r="C64" s="11" t="s">
        <v>198</v>
      </c>
      <c r="D64" s="15">
        <v>1.94</v>
      </c>
      <c r="E64" s="16">
        <v>1</v>
      </c>
      <c r="F64" s="15">
        <f t="shared" si="2"/>
        <v>1.94</v>
      </c>
      <c r="G64" s="11" t="s">
        <v>218</v>
      </c>
      <c r="H64" s="11" t="s">
        <v>232</v>
      </c>
      <c r="I64" s="11" t="s">
        <v>233</v>
      </c>
      <c r="J64" s="66" t="s">
        <v>234</v>
      </c>
      <c r="K64" s="13" t="s">
        <v>97</v>
      </c>
      <c r="L64" s="14">
        <v>9</v>
      </c>
      <c r="M64" s="35"/>
      <c r="N64" s="40" t="s">
        <v>97</v>
      </c>
      <c r="O64" s="13" t="s">
        <v>97</v>
      </c>
    </row>
    <row r="65" spans="2:15" x14ac:dyDescent="0.35">
      <c r="B65" s="17">
        <v>10</v>
      </c>
      <c r="C65" s="18" t="s">
        <v>199</v>
      </c>
      <c r="D65" s="19">
        <v>2.19</v>
      </c>
      <c r="E65" s="20">
        <v>1</v>
      </c>
      <c r="F65" s="19">
        <f t="shared" si="2"/>
        <v>2.19</v>
      </c>
      <c r="G65" s="18" t="s">
        <v>235</v>
      </c>
      <c r="H65" s="18" t="s">
        <v>236</v>
      </c>
      <c r="I65" s="18" t="s">
        <v>237</v>
      </c>
      <c r="J65" s="67" t="s">
        <v>238</v>
      </c>
      <c r="K65" s="13" t="s">
        <v>97</v>
      </c>
      <c r="L65" s="17">
        <v>10</v>
      </c>
      <c r="M65" s="36"/>
      <c r="N65" s="41" t="s">
        <v>97</v>
      </c>
      <c r="O65" s="13" t="s">
        <v>97</v>
      </c>
    </row>
    <row r="66" spans="2:15" x14ac:dyDescent="0.35">
      <c r="B66" s="14">
        <v>11</v>
      </c>
      <c r="C66" s="11" t="s">
        <v>201</v>
      </c>
      <c r="D66" s="15">
        <v>9.99</v>
      </c>
      <c r="E66" s="16">
        <v>1</v>
      </c>
      <c r="F66" s="15">
        <f t="shared" si="2"/>
        <v>9.99</v>
      </c>
      <c r="G66" s="11" t="s">
        <v>241</v>
      </c>
      <c r="H66" s="11" t="s">
        <v>242</v>
      </c>
      <c r="I66" s="11" t="s">
        <v>243</v>
      </c>
      <c r="J66" s="66" t="s">
        <v>476</v>
      </c>
      <c r="K66" s="13" t="s">
        <v>97</v>
      </c>
      <c r="L66" s="14">
        <v>11</v>
      </c>
      <c r="M66" s="35"/>
      <c r="N66" s="40" t="s">
        <v>97</v>
      </c>
      <c r="O66" s="13" t="s">
        <v>97</v>
      </c>
    </row>
    <row r="67" spans="2:15" x14ac:dyDescent="0.35">
      <c r="B67" s="17">
        <v>12</v>
      </c>
      <c r="C67" s="18" t="s">
        <v>202</v>
      </c>
      <c r="D67" s="19">
        <v>7.99</v>
      </c>
      <c r="E67" s="20">
        <v>1</v>
      </c>
      <c r="F67" s="19">
        <f t="shared" si="2"/>
        <v>7.99</v>
      </c>
      <c r="G67" s="18" t="s">
        <v>244</v>
      </c>
      <c r="H67" s="18" t="s">
        <v>245</v>
      </c>
      <c r="I67" s="18" t="s">
        <v>246</v>
      </c>
      <c r="J67" s="67" t="s">
        <v>476</v>
      </c>
      <c r="K67" s="13" t="s">
        <v>97</v>
      </c>
      <c r="L67" s="17">
        <v>12</v>
      </c>
      <c r="M67" s="36"/>
      <c r="N67" s="41" t="s">
        <v>97</v>
      </c>
      <c r="O67" s="13" t="s">
        <v>97</v>
      </c>
    </row>
    <row r="68" spans="2:15" x14ac:dyDescent="0.35">
      <c r="B68" s="14">
        <v>13</v>
      </c>
      <c r="C68" s="11" t="s">
        <v>203</v>
      </c>
      <c r="D68" s="15">
        <v>45.99</v>
      </c>
      <c r="E68" s="16">
        <v>1</v>
      </c>
      <c r="F68" s="15">
        <f t="shared" si="2"/>
        <v>45.99</v>
      </c>
      <c r="G68" s="11" t="s">
        <v>247</v>
      </c>
      <c r="H68" s="11" t="s">
        <v>248</v>
      </c>
      <c r="I68" s="11" t="s">
        <v>249</v>
      </c>
      <c r="J68" s="66" t="s">
        <v>476</v>
      </c>
      <c r="K68" s="13" t="s">
        <v>97</v>
      </c>
      <c r="L68" s="14">
        <v>13</v>
      </c>
      <c r="M68" s="35"/>
      <c r="N68" s="40" t="s">
        <v>97</v>
      </c>
      <c r="O68" s="13" t="s">
        <v>97</v>
      </c>
    </row>
    <row r="69" spans="2:15" x14ac:dyDescent="0.35">
      <c r="B69" s="17">
        <v>14</v>
      </c>
      <c r="C69" s="18" t="s">
        <v>204</v>
      </c>
      <c r="D69" s="19">
        <v>0</v>
      </c>
      <c r="E69" s="20">
        <v>1</v>
      </c>
      <c r="F69" s="19">
        <f t="shared" si="2"/>
        <v>0</v>
      </c>
      <c r="G69" s="18" t="s">
        <v>45</v>
      </c>
      <c r="H69" s="18" t="s">
        <v>250</v>
      </c>
      <c r="I69" s="18" t="s">
        <v>72</v>
      </c>
      <c r="J69" s="68" t="s">
        <v>82</v>
      </c>
      <c r="K69" s="13" t="s">
        <v>97</v>
      </c>
      <c r="L69" s="17">
        <v>14</v>
      </c>
      <c r="M69" s="36"/>
      <c r="N69" s="41" t="s">
        <v>97</v>
      </c>
      <c r="O69" s="13" t="s">
        <v>97</v>
      </c>
    </row>
    <row r="70" spans="2:15" x14ac:dyDescent="0.35">
      <c r="B70" s="14">
        <v>15</v>
      </c>
      <c r="C70" s="11" t="s">
        <v>205</v>
      </c>
      <c r="D70" s="15">
        <v>0</v>
      </c>
      <c r="E70" s="16">
        <v>1</v>
      </c>
      <c r="F70" s="15">
        <f t="shared" si="2"/>
        <v>0</v>
      </c>
      <c r="G70" s="11" t="s">
        <v>45</v>
      </c>
      <c r="H70" s="11" t="s">
        <v>251</v>
      </c>
      <c r="I70" s="11" t="s">
        <v>72</v>
      </c>
      <c r="J70" s="69" t="s">
        <v>82</v>
      </c>
      <c r="K70" s="13" t="s">
        <v>97</v>
      </c>
      <c r="L70" s="14">
        <v>15</v>
      </c>
      <c r="M70" s="35"/>
      <c r="N70" s="40" t="s">
        <v>97</v>
      </c>
      <c r="O70" s="13" t="s">
        <v>97</v>
      </c>
    </row>
    <row r="71" spans="2:15" ht="15" thickBot="1" x14ac:dyDescent="0.4">
      <c r="B71" s="21"/>
      <c r="C71" s="22"/>
      <c r="D71" s="83" t="s">
        <v>96</v>
      </c>
      <c r="E71" s="83"/>
      <c r="F71" s="23">
        <f>SUM(F57:F70)</f>
        <v>153.5</v>
      </c>
      <c r="G71" s="22"/>
      <c r="H71" s="22"/>
      <c r="I71" s="22"/>
      <c r="J71" s="6"/>
      <c r="K71" s="13" t="s">
        <v>97</v>
      </c>
      <c r="L71" s="34"/>
      <c r="M71" s="37"/>
      <c r="N71" s="38"/>
      <c r="O71" s="13" t="s">
        <v>97</v>
      </c>
    </row>
    <row r="74" spans="2:15" x14ac:dyDescent="0.35">
      <c r="B74" s="28" t="s">
        <v>252</v>
      </c>
      <c r="C74" s="2" t="s">
        <v>253</v>
      </c>
    </row>
    <row r="75" spans="2:15" ht="15" thickBot="1" x14ac:dyDescent="0.4"/>
    <row r="76" spans="2:15" x14ac:dyDescent="0.35">
      <c r="B76" s="24" t="s">
        <v>6</v>
      </c>
      <c r="C76" s="25" t="s">
        <v>7</v>
      </c>
      <c r="D76" s="25" t="s">
        <v>8</v>
      </c>
      <c r="E76" s="26" t="s">
        <v>9</v>
      </c>
      <c r="F76" s="25" t="s">
        <v>10</v>
      </c>
      <c r="G76" s="25" t="s">
        <v>11</v>
      </c>
      <c r="H76" s="25" t="s">
        <v>12</v>
      </c>
      <c r="I76" s="25" t="s">
        <v>13</v>
      </c>
      <c r="J76" s="27" t="s">
        <v>14</v>
      </c>
      <c r="L76" s="24" t="s">
        <v>6</v>
      </c>
      <c r="M76" s="25" t="s">
        <v>290</v>
      </c>
      <c r="N76" s="27" t="s">
        <v>291</v>
      </c>
    </row>
    <row r="77" spans="2:15" x14ac:dyDescent="0.35">
      <c r="B77" s="14">
        <v>1</v>
      </c>
      <c r="C77" s="11" t="s">
        <v>254</v>
      </c>
      <c r="D77" s="15">
        <v>23.23</v>
      </c>
      <c r="E77" s="16">
        <v>1</v>
      </c>
      <c r="F77" s="15">
        <f>D77*E77</f>
        <v>23.23</v>
      </c>
      <c r="G77" s="11" t="s">
        <v>275</v>
      </c>
      <c r="H77" s="11" t="s">
        <v>302</v>
      </c>
      <c r="I77" s="11" t="s">
        <v>292</v>
      </c>
      <c r="J77" s="62" t="s">
        <v>301</v>
      </c>
      <c r="K77" s="13" t="s">
        <v>97</v>
      </c>
      <c r="L77" s="14">
        <v>1</v>
      </c>
      <c r="M77" s="29" t="s">
        <v>313</v>
      </c>
      <c r="N77" s="29"/>
      <c r="O77" s="13" t="s">
        <v>97</v>
      </c>
    </row>
    <row r="78" spans="2:15" x14ac:dyDescent="0.35">
      <c r="B78" s="17">
        <v>2</v>
      </c>
      <c r="C78" s="18" t="s">
        <v>255</v>
      </c>
      <c r="D78" s="19">
        <v>37</v>
      </c>
      <c r="E78" s="20">
        <v>1</v>
      </c>
      <c r="F78" s="19">
        <f>D78*E78</f>
        <v>37</v>
      </c>
      <c r="G78" s="18" t="s">
        <v>276</v>
      </c>
      <c r="H78" s="18" t="s">
        <v>303</v>
      </c>
      <c r="I78" s="18" t="s">
        <v>293</v>
      </c>
      <c r="J78" s="63" t="s">
        <v>304</v>
      </c>
      <c r="K78" s="13" t="s">
        <v>97</v>
      </c>
      <c r="L78" s="17">
        <v>2</v>
      </c>
      <c r="M78" s="63" t="s">
        <v>714</v>
      </c>
      <c r="N78" s="30"/>
      <c r="O78" s="13" t="s">
        <v>97</v>
      </c>
    </row>
    <row r="79" spans="2:15" x14ac:dyDescent="0.35">
      <c r="B79" s="14">
        <v>3</v>
      </c>
      <c r="C79" s="11" t="s">
        <v>256</v>
      </c>
      <c r="D79" s="15">
        <v>18.88</v>
      </c>
      <c r="E79" s="16">
        <v>1</v>
      </c>
      <c r="F79" s="15">
        <f t="shared" ref="F79:F97" si="3">D79*E79</f>
        <v>18.88</v>
      </c>
      <c r="G79" s="11" t="s">
        <v>277</v>
      </c>
      <c r="H79" s="11" t="s">
        <v>306</v>
      </c>
      <c r="I79" s="11" t="s">
        <v>294</v>
      </c>
      <c r="J79" s="62" t="s">
        <v>305</v>
      </c>
      <c r="K79" s="13" t="s">
        <v>97</v>
      </c>
      <c r="L79" s="14">
        <v>3</v>
      </c>
      <c r="M79" s="29" t="s">
        <v>314</v>
      </c>
      <c r="N79" s="29"/>
      <c r="O79" s="13" t="s">
        <v>97</v>
      </c>
    </row>
    <row r="80" spans="2:15" x14ac:dyDescent="0.35">
      <c r="B80" s="17">
        <v>4</v>
      </c>
      <c r="C80" s="18" t="s">
        <v>105</v>
      </c>
      <c r="D80" s="19">
        <v>5.38</v>
      </c>
      <c r="E80" s="20">
        <v>1</v>
      </c>
      <c r="F80" s="19">
        <f t="shared" si="3"/>
        <v>5.38</v>
      </c>
      <c r="G80" s="18" t="s">
        <v>278</v>
      </c>
      <c r="H80" s="18" t="s">
        <v>142</v>
      </c>
      <c r="I80" s="18" t="s">
        <v>176</v>
      </c>
      <c r="J80" s="63" t="s">
        <v>143</v>
      </c>
      <c r="K80" s="13" t="s">
        <v>97</v>
      </c>
      <c r="L80" s="17">
        <v>4</v>
      </c>
      <c r="M80" s="36"/>
      <c r="N80" s="41" t="s">
        <v>97</v>
      </c>
      <c r="O80" s="13" t="s">
        <v>97</v>
      </c>
    </row>
    <row r="81" spans="2:15" x14ac:dyDescent="0.35">
      <c r="B81" s="14">
        <v>5</v>
      </c>
      <c r="C81" s="11" t="s">
        <v>257</v>
      </c>
      <c r="D81" s="15">
        <v>5.18</v>
      </c>
      <c r="E81" s="16">
        <v>1</v>
      </c>
      <c r="F81" s="15">
        <f t="shared" si="3"/>
        <v>5.18</v>
      </c>
      <c r="G81" s="11" t="s">
        <v>279</v>
      </c>
      <c r="H81" s="11" t="s">
        <v>307</v>
      </c>
      <c r="I81" s="11" t="s">
        <v>295</v>
      </c>
      <c r="J81" s="62" t="s">
        <v>308</v>
      </c>
      <c r="K81" s="13" t="s">
        <v>97</v>
      </c>
      <c r="L81" s="14">
        <v>5</v>
      </c>
      <c r="M81" s="35"/>
      <c r="N81" s="40" t="s">
        <v>97</v>
      </c>
      <c r="O81" s="13" t="s">
        <v>97</v>
      </c>
    </row>
    <row r="82" spans="2:15" x14ac:dyDescent="0.35">
      <c r="B82" s="17">
        <v>6</v>
      </c>
      <c r="C82" s="18" t="s">
        <v>258</v>
      </c>
      <c r="D82" s="19" t="s">
        <v>259</v>
      </c>
      <c r="E82" s="20">
        <v>1</v>
      </c>
      <c r="F82" s="19">
        <f t="shared" si="3"/>
        <v>10.17</v>
      </c>
      <c r="G82" s="18" t="s">
        <v>280</v>
      </c>
      <c r="H82" s="18" t="s">
        <v>309</v>
      </c>
      <c r="I82" s="18" t="s">
        <v>296</v>
      </c>
      <c r="J82" s="63" t="s">
        <v>310</v>
      </c>
      <c r="K82" s="13" t="s">
        <v>97</v>
      </c>
      <c r="L82" s="17">
        <v>6</v>
      </c>
      <c r="M82" s="36"/>
      <c r="N82" s="41" t="s">
        <v>97</v>
      </c>
      <c r="O82" s="13" t="s">
        <v>97</v>
      </c>
    </row>
    <row r="83" spans="2:15" x14ac:dyDescent="0.35">
      <c r="B83" s="14">
        <v>7</v>
      </c>
      <c r="C83" s="11" t="s">
        <v>260</v>
      </c>
      <c r="D83" s="15">
        <v>1.18</v>
      </c>
      <c r="E83" s="16">
        <v>1</v>
      </c>
      <c r="F83" s="15">
        <f t="shared" si="3"/>
        <v>1.18</v>
      </c>
      <c r="G83" s="11" t="s">
        <v>281</v>
      </c>
      <c r="H83" s="11" t="s">
        <v>311</v>
      </c>
      <c r="I83" s="11" t="s">
        <v>297</v>
      </c>
      <c r="J83" s="62" t="s">
        <v>312</v>
      </c>
      <c r="K83" s="13" t="s">
        <v>97</v>
      </c>
      <c r="L83" s="14">
        <v>7</v>
      </c>
      <c r="M83" s="35"/>
      <c r="N83" s="40" t="s">
        <v>97</v>
      </c>
      <c r="O83" s="13" t="s">
        <v>97</v>
      </c>
    </row>
    <row r="84" spans="2:15" x14ac:dyDescent="0.35">
      <c r="B84" s="17">
        <v>8</v>
      </c>
      <c r="C84" s="18" t="s">
        <v>261</v>
      </c>
      <c r="D84" s="19">
        <v>2.83</v>
      </c>
      <c r="E84" s="20">
        <v>2</v>
      </c>
      <c r="F84" s="19">
        <f t="shared" si="3"/>
        <v>5.66</v>
      </c>
      <c r="G84" s="18" t="s">
        <v>282</v>
      </c>
      <c r="H84" s="18" t="s">
        <v>315</v>
      </c>
      <c r="I84" s="18" t="s">
        <v>298</v>
      </c>
      <c r="J84" s="63" t="s">
        <v>316</v>
      </c>
      <c r="K84" s="13" t="s">
        <v>97</v>
      </c>
      <c r="L84" s="17">
        <v>8</v>
      </c>
      <c r="M84" s="36"/>
      <c r="N84" s="41" t="s">
        <v>97</v>
      </c>
      <c r="O84" s="13" t="s">
        <v>97</v>
      </c>
    </row>
    <row r="85" spans="2:15" x14ac:dyDescent="0.35">
      <c r="B85" s="14">
        <v>9</v>
      </c>
      <c r="C85" s="11" t="s">
        <v>262</v>
      </c>
      <c r="D85" s="15">
        <v>9.2799999999999994</v>
      </c>
      <c r="E85" s="16">
        <v>2</v>
      </c>
      <c r="F85" s="15">
        <f t="shared" si="3"/>
        <v>18.559999999999999</v>
      </c>
      <c r="G85" s="11" t="s">
        <v>283</v>
      </c>
      <c r="H85" s="11" t="s">
        <v>317</v>
      </c>
      <c r="I85" s="11" t="s">
        <v>72</v>
      </c>
      <c r="J85" s="62" t="s">
        <v>318</v>
      </c>
      <c r="K85" s="13" t="s">
        <v>97</v>
      </c>
      <c r="L85" s="14">
        <v>9</v>
      </c>
      <c r="M85" s="35"/>
      <c r="N85" s="40" t="s">
        <v>97</v>
      </c>
      <c r="O85" s="13" t="s">
        <v>97</v>
      </c>
    </row>
    <row r="86" spans="2:15" x14ac:dyDescent="0.35">
      <c r="B86" s="17">
        <v>10</v>
      </c>
      <c r="C86" s="18" t="s">
        <v>263</v>
      </c>
      <c r="D86" s="19">
        <v>5.18</v>
      </c>
      <c r="E86" s="20">
        <v>8</v>
      </c>
      <c r="F86" s="19">
        <f t="shared" si="3"/>
        <v>41.44</v>
      </c>
      <c r="G86" s="18" t="s">
        <v>284</v>
      </c>
      <c r="H86" s="18" t="s">
        <v>319</v>
      </c>
      <c r="I86" s="18" t="s">
        <v>72</v>
      </c>
      <c r="J86" s="63" t="s">
        <v>318</v>
      </c>
      <c r="K86" s="13" t="s">
        <v>97</v>
      </c>
      <c r="L86" s="17">
        <v>10</v>
      </c>
      <c r="M86" s="36"/>
      <c r="N86" s="41" t="s">
        <v>97</v>
      </c>
      <c r="O86" s="13" t="s">
        <v>97</v>
      </c>
    </row>
    <row r="87" spans="2:15" x14ac:dyDescent="0.35">
      <c r="B87" s="14">
        <v>11</v>
      </c>
      <c r="C87" s="11" t="s">
        <v>264</v>
      </c>
      <c r="D87" s="15">
        <v>5.5</v>
      </c>
      <c r="E87" s="16">
        <v>2</v>
      </c>
      <c r="F87" s="15">
        <f t="shared" si="3"/>
        <v>11</v>
      </c>
      <c r="G87" s="11" t="s">
        <v>285</v>
      </c>
      <c r="H87" s="11" t="s">
        <v>342</v>
      </c>
      <c r="I87" s="11" t="s">
        <v>343</v>
      </c>
      <c r="J87" s="62" t="s">
        <v>344</v>
      </c>
      <c r="K87" s="13" t="s">
        <v>97</v>
      </c>
      <c r="L87" s="14">
        <v>11</v>
      </c>
      <c r="M87" s="35"/>
      <c r="N87" s="40" t="s">
        <v>97</v>
      </c>
      <c r="O87" s="13" t="s">
        <v>97</v>
      </c>
    </row>
    <row r="88" spans="2:15" x14ac:dyDescent="0.35">
      <c r="B88" s="17">
        <v>12</v>
      </c>
      <c r="C88" s="18" t="s">
        <v>265</v>
      </c>
      <c r="D88" s="19">
        <v>3.02</v>
      </c>
      <c r="E88" s="20">
        <v>1</v>
      </c>
      <c r="F88" s="19">
        <f t="shared" si="3"/>
        <v>3.02</v>
      </c>
      <c r="G88" s="18" t="s">
        <v>285</v>
      </c>
      <c r="H88" s="18" t="s">
        <v>320</v>
      </c>
      <c r="I88" s="18" t="s">
        <v>321</v>
      </c>
      <c r="J88" s="63" t="s">
        <v>322</v>
      </c>
      <c r="K88" s="13" t="s">
        <v>97</v>
      </c>
      <c r="L88" s="17">
        <v>12</v>
      </c>
      <c r="M88" s="36"/>
      <c r="N88" s="41" t="s">
        <v>97</v>
      </c>
      <c r="O88" s="13" t="s">
        <v>97</v>
      </c>
    </row>
    <row r="89" spans="2:15" x14ac:dyDescent="0.35">
      <c r="B89" s="14">
        <v>13</v>
      </c>
      <c r="C89" s="11" t="s">
        <v>266</v>
      </c>
      <c r="D89" s="15">
        <v>7.08</v>
      </c>
      <c r="E89" s="16">
        <v>1</v>
      </c>
      <c r="F89" s="15">
        <f t="shared" si="3"/>
        <v>7.08</v>
      </c>
      <c r="G89" s="11" t="s">
        <v>285</v>
      </c>
      <c r="H89" s="11" t="s">
        <v>323</v>
      </c>
      <c r="I89" s="11" t="s">
        <v>324</v>
      </c>
      <c r="J89" s="62" t="s">
        <v>325</v>
      </c>
      <c r="K89" s="13" t="s">
        <v>97</v>
      </c>
      <c r="L89" s="14">
        <v>13</v>
      </c>
      <c r="M89" s="35"/>
      <c r="N89" s="40" t="s">
        <v>97</v>
      </c>
      <c r="O89" s="13" t="s">
        <v>97</v>
      </c>
    </row>
    <row r="90" spans="2:15" x14ac:dyDescent="0.35">
      <c r="B90" s="17">
        <v>14</v>
      </c>
      <c r="C90" s="18" t="s">
        <v>267</v>
      </c>
      <c r="D90" s="19">
        <v>2.59</v>
      </c>
      <c r="E90" s="20">
        <v>8</v>
      </c>
      <c r="F90" s="19">
        <f t="shared" si="3"/>
        <v>20.72</v>
      </c>
      <c r="G90" s="18" t="s">
        <v>286</v>
      </c>
      <c r="H90" s="18" t="s">
        <v>326</v>
      </c>
      <c r="I90" s="18" t="s">
        <v>327</v>
      </c>
      <c r="J90" s="63" t="s">
        <v>328</v>
      </c>
      <c r="K90" s="13" t="s">
        <v>97</v>
      </c>
      <c r="L90" s="17">
        <v>14</v>
      </c>
      <c r="M90" s="36"/>
      <c r="N90" s="41" t="s">
        <v>97</v>
      </c>
      <c r="O90" s="13" t="s">
        <v>97</v>
      </c>
    </row>
    <row r="91" spans="2:15" x14ac:dyDescent="0.35">
      <c r="B91" s="14">
        <v>15</v>
      </c>
      <c r="C91" s="11" t="s">
        <v>268</v>
      </c>
      <c r="D91" s="15">
        <v>8.32</v>
      </c>
      <c r="E91" s="16">
        <v>1</v>
      </c>
      <c r="F91" s="15">
        <f t="shared" si="3"/>
        <v>8.32</v>
      </c>
      <c r="G91" s="11" t="s">
        <v>287</v>
      </c>
      <c r="H91" s="11" t="s">
        <v>329</v>
      </c>
      <c r="I91" s="11" t="s">
        <v>268</v>
      </c>
      <c r="J91" s="62" t="s">
        <v>330</v>
      </c>
      <c r="K91" s="13" t="s">
        <v>97</v>
      </c>
      <c r="L91" s="14">
        <v>15</v>
      </c>
      <c r="M91" s="35"/>
      <c r="N91" s="40" t="s">
        <v>97</v>
      </c>
      <c r="O91" s="13" t="s">
        <v>97</v>
      </c>
    </row>
    <row r="92" spans="2:15" x14ac:dyDescent="0.35">
      <c r="B92" s="17">
        <v>16</v>
      </c>
      <c r="C92" s="18" t="s">
        <v>269</v>
      </c>
      <c r="D92" s="19">
        <v>0.97</v>
      </c>
      <c r="E92" s="20">
        <v>1</v>
      </c>
      <c r="F92" s="19">
        <f t="shared" si="3"/>
        <v>0.97</v>
      </c>
      <c r="G92" s="18" t="s">
        <v>288</v>
      </c>
      <c r="H92" s="18" t="s">
        <v>331</v>
      </c>
      <c r="I92" s="18" t="s">
        <v>269</v>
      </c>
      <c r="J92" s="63" t="s">
        <v>332</v>
      </c>
      <c r="K92" s="13" t="s">
        <v>97</v>
      </c>
      <c r="L92" s="17">
        <v>16</v>
      </c>
      <c r="M92" s="36"/>
      <c r="N92" s="41" t="s">
        <v>97</v>
      </c>
      <c r="O92" s="13" t="s">
        <v>97</v>
      </c>
    </row>
    <row r="93" spans="2:15" x14ac:dyDescent="0.35">
      <c r="B93" s="14">
        <v>17</v>
      </c>
      <c r="C93" s="11" t="s">
        <v>270</v>
      </c>
      <c r="D93" s="15">
        <v>5.31</v>
      </c>
      <c r="E93" s="16">
        <v>1</v>
      </c>
      <c r="F93" s="15">
        <f t="shared" si="3"/>
        <v>5.31</v>
      </c>
      <c r="G93" s="11" t="s">
        <v>289</v>
      </c>
      <c r="H93" s="11" t="s">
        <v>333</v>
      </c>
      <c r="I93" s="11" t="s">
        <v>270</v>
      </c>
      <c r="J93" s="62" t="s">
        <v>334</v>
      </c>
      <c r="K93" s="13" t="s">
        <v>97</v>
      </c>
      <c r="L93" s="14">
        <v>17</v>
      </c>
      <c r="M93" s="35"/>
      <c r="N93" s="40" t="s">
        <v>97</v>
      </c>
      <c r="O93" s="13" t="s">
        <v>97</v>
      </c>
    </row>
    <row r="94" spans="2:15" x14ac:dyDescent="0.35">
      <c r="B94" s="17">
        <v>18</v>
      </c>
      <c r="C94" s="18" t="s">
        <v>271</v>
      </c>
      <c r="D94" s="19">
        <v>0</v>
      </c>
      <c r="E94" s="20">
        <v>1</v>
      </c>
      <c r="F94" s="19">
        <f t="shared" si="3"/>
        <v>0</v>
      </c>
      <c r="G94" s="18" t="s">
        <v>39</v>
      </c>
      <c r="H94" s="18" t="s">
        <v>335</v>
      </c>
      <c r="I94" s="18" t="s">
        <v>72</v>
      </c>
      <c r="J94" s="64" t="s">
        <v>336</v>
      </c>
      <c r="K94" s="13" t="s">
        <v>97</v>
      </c>
      <c r="L94" s="17">
        <v>18</v>
      </c>
      <c r="M94" s="36"/>
      <c r="N94" s="41" t="s">
        <v>97</v>
      </c>
      <c r="O94" s="13" t="s">
        <v>97</v>
      </c>
    </row>
    <row r="95" spans="2:15" x14ac:dyDescent="0.35">
      <c r="B95" s="14">
        <v>19</v>
      </c>
      <c r="C95" s="11" t="s">
        <v>272</v>
      </c>
      <c r="D95" s="15">
        <v>0</v>
      </c>
      <c r="E95" s="16">
        <v>1</v>
      </c>
      <c r="F95" s="15">
        <f t="shared" si="3"/>
        <v>0</v>
      </c>
      <c r="G95" s="11" t="s">
        <v>39</v>
      </c>
      <c r="H95" s="11" t="s">
        <v>337</v>
      </c>
      <c r="I95" s="11" t="s">
        <v>72</v>
      </c>
      <c r="J95" s="65" t="s">
        <v>336</v>
      </c>
      <c r="K95" s="13" t="s">
        <v>97</v>
      </c>
      <c r="L95" s="14">
        <v>19</v>
      </c>
      <c r="M95" s="35"/>
      <c r="N95" s="40" t="s">
        <v>97</v>
      </c>
      <c r="O95" s="13" t="s">
        <v>97</v>
      </c>
    </row>
    <row r="96" spans="2:15" x14ac:dyDescent="0.35">
      <c r="B96" s="17">
        <v>20</v>
      </c>
      <c r="C96" s="18" t="s">
        <v>273</v>
      </c>
      <c r="D96" s="19">
        <v>0</v>
      </c>
      <c r="E96" s="20">
        <v>1</v>
      </c>
      <c r="F96" s="19">
        <f t="shared" si="3"/>
        <v>0</v>
      </c>
      <c r="G96" s="18" t="s">
        <v>39</v>
      </c>
      <c r="H96" s="18" t="s">
        <v>338</v>
      </c>
      <c r="I96" s="18" t="s">
        <v>72</v>
      </c>
      <c r="J96" s="64" t="s">
        <v>339</v>
      </c>
      <c r="K96" s="13" t="s">
        <v>97</v>
      </c>
      <c r="L96" s="17">
        <v>20</v>
      </c>
      <c r="M96" s="36"/>
      <c r="N96" s="41" t="s">
        <v>97</v>
      </c>
      <c r="O96" s="13" t="s">
        <v>97</v>
      </c>
    </row>
    <row r="97" spans="2:15" x14ac:dyDescent="0.35">
      <c r="B97" s="14">
        <v>21</v>
      </c>
      <c r="C97" s="11" t="s">
        <v>274</v>
      </c>
      <c r="D97" s="15">
        <v>0</v>
      </c>
      <c r="E97" s="16">
        <v>1</v>
      </c>
      <c r="F97" s="15">
        <f t="shared" si="3"/>
        <v>0</v>
      </c>
      <c r="G97" s="11" t="s">
        <v>39</v>
      </c>
      <c r="H97" s="11" t="s">
        <v>340</v>
      </c>
      <c r="I97" s="11"/>
      <c r="J97" s="65" t="s">
        <v>341</v>
      </c>
      <c r="K97" s="13" t="s">
        <v>97</v>
      </c>
      <c r="L97" s="14">
        <v>21</v>
      </c>
      <c r="M97" s="35"/>
      <c r="N97" s="40" t="s">
        <v>97</v>
      </c>
      <c r="O97" s="13" t="s">
        <v>97</v>
      </c>
    </row>
    <row r="98" spans="2:15" ht="15" thickBot="1" x14ac:dyDescent="0.4">
      <c r="B98" s="21"/>
      <c r="C98" s="22"/>
      <c r="D98" s="83" t="s">
        <v>96</v>
      </c>
      <c r="E98" s="83"/>
      <c r="F98" s="23">
        <f>SUM(F77:F97)</f>
        <v>223.10000000000002</v>
      </c>
      <c r="G98" s="22"/>
      <c r="H98" s="22"/>
      <c r="I98" s="22"/>
      <c r="J98" s="6"/>
      <c r="K98" s="13" t="s">
        <v>97</v>
      </c>
      <c r="L98" s="34"/>
      <c r="M98" s="37"/>
      <c r="N98" s="38"/>
      <c r="O98" s="13" t="s">
        <v>97</v>
      </c>
    </row>
    <row r="101" spans="2:15" x14ac:dyDescent="0.35">
      <c r="B101" s="28" t="s">
        <v>299</v>
      </c>
      <c r="C101" s="2" t="s">
        <v>300</v>
      </c>
      <c r="K101" s="33"/>
      <c r="O101" s="33"/>
    </row>
    <row r="102" spans="2:15" ht="15" thickBot="1" x14ac:dyDescent="0.4">
      <c r="K102" s="33"/>
      <c r="O102" s="33"/>
    </row>
    <row r="103" spans="2:15" x14ac:dyDescent="0.35">
      <c r="B103" s="24" t="s">
        <v>6</v>
      </c>
      <c r="C103" s="25" t="s">
        <v>7</v>
      </c>
      <c r="D103" s="25" t="s">
        <v>8</v>
      </c>
      <c r="E103" s="26" t="s">
        <v>9</v>
      </c>
      <c r="F103" s="25" t="s">
        <v>10</v>
      </c>
      <c r="G103" s="25" t="s">
        <v>11</v>
      </c>
      <c r="H103" s="25" t="s">
        <v>12</v>
      </c>
      <c r="I103" s="25" t="s">
        <v>13</v>
      </c>
      <c r="J103" s="27" t="s">
        <v>14</v>
      </c>
      <c r="K103" s="33"/>
      <c r="L103" s="24" t="s">
        <v>6</v>
      </c>
      <c r="M103" s="25" t="s">
        <v>290</v>
      </c>
      <c r="N103" s="27" t="s">
        <v>291</v>
      </c>
      <c r="O103" s="33"/>
    </row>
    <row r="104" spans="2:15" x14ac:dyDescent="0.35">
      <c r="B104" s="14">
        <v>1</v>
      </c>
      <c r="C104" s="11" t="s">
        <v>345</v>
      </c>
      <c r="D104" s="15">
        <v>8.2799999999999994</v>
      </c>
      <c r="E104" s="16">
        <v>1</v>
      </c>
      <c r="F104" s="15">
        <f>D104*E104</f>
        <v>8.2799999999999994</v>
      </c>
      <c r="G104" s="11" t="s">
        <v>353</v>
      </c>
      <c r="H104" s="11" t="s">
        <v>358</v>
      </c>
      <c r="I104" s="11" t="s">
        <v>359</v>
      </c>
      <c r="J104" s="62" t="s">
        <v>360</v>
      </c>
      <c r="K104" s="39" t="s">
        <v>97</v>
      </c>
      <c r="L104" s="14">
        <v>1</v>
      </c>
      <c r="M104" s="35"/>
      <c r="N104" s="40" t="s">
        <v>97</v>
      </c>
      <c r="O104" s="39" t="s">
        <v>97</v>
      </c>
    </row>
    <row r="105" spans="2:15" x14ac:dyDescent="0.35">
      <c r="B105" s="17">
        <f>B104+1</f>
        <v>2</v>
      </c>
      <c r="C105" s="18" t="s">
        <v>346</v>
      </c>
      <c r="D105" s="19">
        <v>2.96</v>
      </c>
      <c r="E105" s="20">
        <v>1</v>
      </c>
      <c r="F105" s="19">
        <f>D105*E105</f>
        <v>2.96</v>
      </c>
      <c r="G105" s="18" t="s">
        <v>354</v>
      </c>
      <c r="H105" s="18" t="s">
        <v>361</v>
      </c>
      <c r="I105" s="18" t="s">
        <v>362</v>
      </c>
      <c r="J105" s="63" t="s">
        <v>363</v>
      </c>
      <c r="K105" s="39" t="s">
        <v>97</v>
      </c>
      <c r="L105" s="17">
        <v>2</v>
      </c>
      <c r="M105" s="36"/>
      <c r="N105" s="41" t="s">
        <v>97</v>
      </c>
      <c r="O105" s="39" t="s">
        <v>97</v>
      </c>
    </row>
    <row r="106" spans="2:15" x14ac:dyDescent="0.35">
      <c r="B106" s="14">
        <v>3</v>
      </c>
      <c r="C106" s="11" t="s">
        <v>347</v>
      </c>
      <c r="D106" s="15">
        <v>4.05</v>
      </c>
      <c r="E106" s="16">
        <v>1</v>
      </c>
      <c r="F106" s="15">
        <f t="shared" ref="F106:F111" si="4">D106*E106</f>
        <v>4.05</v>
      </c>
      <c r="G106" s="11" t="s">
        <v>353</v>
      </c>
      <c r="H106" s="11" t="s">
        <v>364</v>
      </c>
      <c r="I106" s="11" t="s">
        <v>365</v>
      </c>
      <c r="J106" s="62" t="s">
        <v>366</v>
      </c>
      <c r="K106" s="39" t="s">
        <v>97</v>
      </c>
      <c r="L106" s="14">
        <v>3</v>
      </c>
      <c r="M106" s="35"/>
      <c r="N106" s="40" t="s">
        <v>97</v>
      </c>
      <c r="O106" s="39" t="s">
        <v>97</v>
      </c>
    </row>
    <row r="107" spans="2:15" x14ac:dyDescent="0.35">
      <c r="B107" s="17">
        <v>4</v>
      </c>
      <c r="C107" s="18" t="s">
        <v>348</v>
      </c>
      <c r="D107" s="19">
        <v>4.72</v>
      </c>
      <c r="E107" s="20">
        <v>1</v>
      </c>
      <c r="F107" s="19">
        <f t="shared" si="4"/>
        <v>4.72</v>
      </c>
      <c r="G107" s="18" t="s">
        <v>355</v>
      </c>
      <c r="H107" s="18" t="s">
        <v>367</v>
      </c>
      <c r="I107" s="18" t="s">
        <v>368</v>
      </c>
      <c r="J107" s="63" t="s">
        <v>369</v>
      </c>
      <c r="K107" s="39" t="s">
        <v>97</v>
      </c>
      <c r="L107" s="17">
        <v>4</v>
      </c>
      <c r="M107" s="36"/>
      <c r="N107" s="41" t="s">
        <v>97</v>
      </c>
      <c r="O107" s="39" t="s">
        <v>97</v>
      </c>
    </row>
    <row r="108" spans="2:15" x14ac:dyDescent="0.35">
      <c r="B108" s="14">
        <v>5</v>
      </c>
      <c r="C108" s="11" t="s">
        <v>349</v>
      </c>
      <c r="D108" s="15">
        <v>2.78</v>
      </c>
      <c r="E108" s="16">
        <v>1</v>
      </c>
      <c r="F108" s="15">
        <f t="shared" si="4"/>
        <v>2.78</v>
      </c>
      <c r="G108" s="11" t="s">
        <v>356</v>
      </c>
      <c r="H108" s="11" t="s">
        <v>370</v>
      </c>
      <c r="I108" s="11" t="s">
        <v>371</v>
      </c>
      <c r="J108" s="62" t="s">
        <v>372</v>
      </c>
      <c r="K108" s="39" t="s">
        <v>97</v>
      </c>
      <c r="L108" s="14">
        <v>5</v>
      </c>
      <c r="M108" s="35"/>
      <c r="N108" s="40" t="s">
        <v>97</v>
      </c>
      <c r="O108" s="39" t="s">
        <v>97</v>
      </c>
    </row>
    <row r="109" spans="2:15" x14ac:dyDescent="0.35">
      <c r="B109" s="17">
        <v>6</v>
      </c>
      <c r="C109" s="18" t="s">
        <v>350</v>
      </c>
      <c r="D109" s="19">
        <v>1.4</v>
      </c>
      <c r="E109" s="20">
        <v>1</v>
      </c>
      <c r="F109" s="19">
        <f t="shared" si="4"/>
        <v>1.4</v>
      </c>
      <c r="G109" s="18" t="s">
        <v>356</v>
      </c>
      <c r="H109" s="18" t="s">
        <v>373</v>
      </c>
      <c r="I109" s="18" t="s">
        <v>371</v>
      </c>
      <c r="J109" s="63" t="s">
        <v>374</v>
      </c>
      <c r="K109" s="39" t="s">
        <v>97</v>
      </c>
      <c r="L109" s="17">
        <v>6</v>
      </c>
      <c r="M109" s="36"/>
      <c r="N109" s="41" t="s">
        <v>97</v>
      </c>
      <c r="O109" s="39" t="s">
        <v>97</v>
      </c>
    </row>
    <row r="110" spans="2:15" x14ac:dyDescent="0.35">
      <c r="B110" s="14">
        <v>7</v>
      </c>
      <c r="C110" s="11" t="s">
        <v>351</v>
      </c>
      <c r="D110" s="15">
        <v>1.6</v>
      </c>
      <c r="E110" s="16">
        <v>1</v>
      </c>
      <c r="F110" s="15">
        <f t="shared" si="4"/>
        <v>1.6</v>
      </c>
      <c r="G110" s="11" t="s">
        <v>356</v>
      </c>
      <c r="H110" s="11" t="s">
        <v>375</v>
      </c>
      <c r="I110" s="11" t="s">
        <v>371</v>
      </c>
      <c r="J110" s="62" t="s">
        <v>376</v>
      </c>
      <c r="K110" s="39" t="s">
        <v>97</v>
      </c>
      <c r="L110" s="14">
        <v>7</v>
      </c>
      <c r="M110" s="35"/>
      <c r="N110" s="40" t="s">
        <v>97</v>
      </c>
      <c r="O110" s="39" t="s">
        <v>97</v>
      </c>
    </row>
    <row r="111" spans="2:15" x14ac:dyDescent="0.35">
      <c r="B111" s="17">
        <v>8</v>
      </c>
      <c r="C111" s="18" t="s">
        <v>352</v>
      </c>
      <c r="D111" s="19">
        <v>1.46</v>
      </c>
      <c r="E111" s="20">
        <v>1</v>
      </c>
      <c r="F111" s="19">
        <f t="shared" si="4"/>
        <v>1.46</v>
      </c>
      <c r="G111" s="18" t="s">
        <v>357</v>
      </c>
      <c r="H111" s="18" t="s">
        <v>377</v>
      </c>
      <c r="I111" s="18" t="s">
        <v>371</v>
      </c>
      <c r="J111" s="63" t="s">
        <v>378</v>
      </c>
      <c r="K111" s="39" t="s">
        <v>97</v>
      </c>
      <c r="L111" s="17">
        <v>8</v>
      </c>
      <c r="M111" s="36"/>
      <c r="N111" s="41" t="s">
        <v>97</v>
      </c>
      <c r="O111" s="39" t="s">
        <v>97</v>
      </c>
    </row>
    <row r="112" spans="2:15" ht="15" thickBot="1" x14ac:dyDescent="0.4">
      <c r="B112" s="21"/>
      <c r="C112" s="22"/>
      <c r="D112" s="83" t="s">
        <v>96</v>
      </c>
      <c r="E112" s="83"/>
      <c r="F112" s="23">
        <f>SUM(F104:F111)</f>
        <v>27.25</v>
      </c>
      <c r="G112" s="22"/>
      <c r="H112" s="22"/>
      <c r="I112" s="22"/>
      <c r="J112" s="6"/>
      <c r="K112" s="39" t="s">
        <v>97</v>
      </c>
      <c r="L112" s="34"/>
      <c r="M112" s="37"/>
      <c r="N112" s="38"/>
      <c r="O112" s="39" t="s">
        <v>97</v>
      </c>
    </row>
    <row r="115" spans="2:15" x14ac:dyDescent="0.35">
      <c r="B115" s="28" t="s">
        <v>379</v>
      </c>
      <c r="C115" s="2" t="s">
        <v>380</v>
      </c>
      <c r="K115" s="33"/>
      <c r="L115" s="33"/>
      <c r="M115" s="33"/>
      <c r="N115" s="33"/>
      <c r="O115" s="33"/>
    </row>
    <row r="116" spans="2:15" ht="15" thickBot="1" x14ac:dyDescent="0.4">
      <c r="K116" s="33"/>
      <c r="L116" s="33"/>
      <c r="M116" s="33"/>
      <c r="N116" s="33"/>
      <c r="O116" s="33"/>
    </row>
    <row r="117" spans="2:15" x14ac:dyDescent="0.35">
      <c r="B117" s="24" t="s">
        <v>6</v>
      </c>
      <c r="C117" s="25" t="s">
        <v>7</v>
      </c>
      <c r="D117" s="25" t="s">
        <v>8</v>
      </c>
      <c r="E117" s="26" t="s">
        <v>9</v>
      </c>
      <c r="F117" s="25" t="s">
        <v>10</v>
      </c>
      <c r="G117" s="25" t="s">
        <v>11</v>
      </c>
      <c r="H117" s="25" t="s">
        <v>12</v>
      </c>
      <c r="I117" s="25" t="s">
        <v>13</v>
      </c>
      <c r="J117" s="27" t="s">
        <v>14</v>
      </c>
      <c r="K117" s="33"/>
      <c r="L117" s="24" t="s">
        <v>6</v>
      </c>
      <c r="M117" s="25" t="s">
        <v>290</v>
      </c>
      <c r="N117" s="27" t="s">
        <v>291</v>
      </c>
      <c r="O117" s="33"/>
    </row>
    <row r="118" spans="2:15" x14ac:dyDescent="0.35">
      <c r="B118" s="14">
        <v>1</v>
      </c>
      <c r="C118" s="11" t="s">
        <v>381</v>
      </c>
      <c r="D118" s="15">
        <v>0</v>
      </c>
      <c r="E118" s="16">
        <v>1</v>
      </c>
      <c r="F118" s="15">
        <f>D118*E118</f>
        <v>0</v>
      </c>
      <c r="G118" s="11" t="s">
        <v>456</v>
      </c>
      <c r="H118" s="11" t="s">
        <v>407</v>
      </c>
      <c r="I118" s="11" t="s">
        <v>72</v>
      </c>
      <c r="J118" s="65" t="s">
        <v>45</v>
      </c>
      <c r="K118" s="39" t="s">
        <v>97</v>
      </c>
      <c r="L118" s="14">
        <v>1</v>
      </c>
      <c r="M118" s="35"/>
      <c r="N118" s="40" t="s">
        <v>97</v>
      </c>
      <c r="O118" s="39" t="s">
        <v>97</v>
      </c>
    </row>
    <row r="119" spans="2:15" x14ac:dyDescent="0.35">
      <c r="B119" s="17">
        <f>B118+1</f>
        <v>2</v>
      </c>
      <c r="C119" s="18" t="s">
        <v>382</v>
      </c>
      <c r="D119" s="19">
        <v>0</v>
      </c>
      <c r="E119" s="20">
        <v>1</v>
      </c>
      <c r="F119" s="19">
        <f>D119*E119</f>
        <v>0</v>
      </c>
      <c r="G119" s="18" t="s">
        <v>456</v>
      </c>
      <c r="H119" s="18" t="s">
        <v>408</v>
      </c>
      <c r="I119" s="18" t="s">
        <v>72</v>
      </c>
      <c r="J119" s="64" t="s">
        <v>45</v>
      </c>
      <c r="K119" s="39" t="s">
        <v>97</v>
      </c>
      <c r="L119" s="17">
        <v>2</v>
      </c>
      <c r="M119" s="36"/>
      <c r="N119" s="41" t="s">
        <v>97</v>
      </c>
      <c r="O119" s="39" t="s">
        <v>97</v>
      </c>
    </row>
    <row r="120" spans="2:15" x14ac:dyDescent="0.35">
      <c r="B120" s="14">
        <v>3</v>
      </c>
      <c r="C120" s="11" t="s">
        <v>383</v>
      </c>
      <c r="D120" s="15">
        <v>0</v>
      </c>
      <c r="E120" s="16">
        <v>1</v>
      </c>
      <c r="F120" s="15">
        <f t="shared" ref="F120:F144" si="5">D120*E120</f>
        <v>0</v>
      </c>
      <c r="G120" s="11" t="s">
        <v>456</v>
      </c>
      <c r="H120" s="11" t="s">
        <v>409</v>
      </c>
      <c r="I120" s="11" t="s">
        <v>72</v>
      </c>
      <c r="J120" s="65" t="s">
        <v>45</v>
      </c>
      <c r="K120" s="39" t="s">
        <v>97</v>
      </c>
      <c r="L120" s="14">
        <v>3</v>
      </c>
      <c r="M120" s="35"/>
      <c r="N120" s="40" t="s">
        <v>97</v>
      </c>
      <c r="O120" s="39" t="s">
        <v>97</v>
      </c>
    </row>
    <row r="121" spans="2:15" x14ac:dyDescent="0.35">
      <c r="B121" s="17">
        <v>4</v>
      </c>
      <c r="C121" s="18" t="s">
        <v>384</v>
      </c>
      <c r="D121" s="19">
        <v>0</v>
      </c>
      <c r="E121" s="20">
        <v>1</v>
      </c>
      <c r="F121" s="19">
        <f t="shared" si="5"/>
        <v>0</v>
      </c>
      <c r="G121" s="18" t="s">
        <v>456</v>
      </c>
      <c r="H121" s="18" t="s">
        <v>410</v>
      </c>
      <c r="I121" s="18" t="s">
        <v>72</v>
      </c>
      <c r="J121" s="64" t="s">
        <v>45</v>
      </c>
      <c r="K121" s="39" t="s">
        <v>97</v>
      </c>
      <c r="L121" s="17">
        <v>4</v>
      </c>
      <c r="M121" s="36"/>
      <c r="N121" s="41" t="s">
        <v>97</v>
      </c>
      <c r="O121" s="39" t="s">
        <v>97</v>
      </c>
    </row>
    <row r="122" spans="2:15" x14ac:dyDescent="0.35">
      <c r="B122" s="14">
        <v>5</v>
      </c>
      <c r="C122" s="11" t="s">
        <v>385</v>
      </c>
      <c r="D122" s="15">
        <v>6.35</v>
      </c>
      <c r="E122" s="16">
        <v>2</v>
      </c>
      <c r="F122" s="15">
        <f t="shared" si="5"/>
        <v>12.7</v>
      </c>
      <c r="G122" s="11" t="s">
        <v>457</v>
      </c>
      <c r="H122" s="11" t="s">
        <v>411</v>
      </c>
      <c r="I122" s="11" t="s">
        <v>412</v>
      </c>
      <c r="J122" s="62" t="s">
        <v>413</v>
      </c>
      <c r="K122" s="39" t="s">
        <v>97</v>
      </c>
      <c r="L122" s="14">
        <v>5</v>
      </c>
      <c r="M122" s="35"/>
      <c r="N122" s="40" t="s">
        <v>97</v>
      </c>
      <c r="O122" s="39" t="s">
        <v>97</v>
      </c>
    </row>
    <row r="123" spans="2:15" x14ac:dyDescent="0.35">
      <c r="B123" s="17">
        <v>6</v>
      </c>
      <c r="C123" s="18" t="s">
        <v>386</v>
      </c>
      <c r="D123" s="19">
        <v>5.21</v>
      </c>
      <c r="E123" s="20">
        <v>1</v>
      </c>
      <c r="F123" s="19">
        <f t="shared" si="5"/>
        <v>5.21</v>
      </c>
      <c r="G123" s="18" t="s">
        <v>457</v>
      </c>
      <c r="H123" s="18" t="s">
        <v>414</v>
      </c>
      <c r="I123" s="18" t="s">
        <v>386</v>
      </c>
      <c r="J123" s="63" t="s">
        <v>415</v>
      </c>
      <c r="K123" s="39" t="s">
        <v>97</v>
      </c>
      <c r="L123" s="17">
        <v>6</v>
      </c>
      <c r="M123" s="36"/>
      <c r="N123" s="41" t="s">
        <v>97</v>
      </c>
      <c r="O123" s="39" t="s">
        <v>97</v>
      </c>
    </row>
    <row r="124" spans="2:15" x14ac:dyDescent="0.35">
      <c r="B124" s="14">
        <v>7</v>
      </c>
      <c r="C124" s="11" t="s">
        <v>387</v>
      </c>
      <c r="D124" s="15">
        <v>5.54</v>
      </c>
      <c r="E124" s="16">
        <v>1</v>
      </c>
      <c r="F124" s="15">
        <f t="shared" si="5"/>
        <v>5.54</v>
      </c>
      <c r="G124" s="11" t="s">
        <v>458</v>
      </c>
      <c r="H124" s="11" t="s">
        <v>416</v>
      </c>
      <c r="I124" s="11" t="s">
        <v>417</v>
      </c>
      <c r="J124" s="62" t="s">
        <v>418</v>
      </c>
      <c r="K124" s="39" t="s">
        <v>97</v>
      </c>
      <c r="L124" s="14">
        <v>7</v>
      </c>
      <c r="M124" s="35"/>
      <c r="N124" s="40" t="s">
        <v>97</v>
      </c>
      <c r="O124" s="39" t="s">
        <v>97</v>
      </c>
    </row>
    <row r="125" spans="2:15" x14ac:dyDescent="0.35">
      <c r="B125" s="17">
        <v>8</v>
      </c>
      <c r="C125" s="18" t="s">
        <v>388</v>
      </c>
      <c r="D125" s="19">
        <v>2.99</v>
      </c>
      <c r="E125" s="20">
        <v>1</v>
      </c>
      <c r="F125" s="19">
        <f t="shared" si="5"/>
        <v>2.99</v>
      </c>
      <c r="G125" s="18" t="s">
        <v>459</v>
      </c>
      <c r="H125" s="18" t="s">
        <v>419</v>
      </c>
      <c r="I125" s="18" t="s">
        <v>420</v>
      </c>
      <c r="J125" s="63" t="s">
        <v>421</v>
      </c>
      <c r="K125" s="39" t="s">
        <v>97</v>
      </c>
      <c r="L125" s="17">
        <v>8</v>
      </c>
      <c r="M125" s="36"/>
      <c r="N125" s="41" t="s">
        <v>97</v>
      </c>
      <c r="O125" s="39" t="s">
        <v>97</v>
      </c>
    </row>
    <row r="126" spans="2:15" x14ac:dyDescent="0.35">
      <c r="B126" s="14">
        <v>9</v>
      </c>
      <c r="C126" s="11" t="s">
        <v>389</v>
      </c>
      <c r="D126" s="15">
        <v>8.6</v>
      </c>
      <c r="E126" s="16">
        <v>1</v>
      </c>
      <c r="F126" s="15">
        <f t="shared" si="5"/>
        <v>8.6</v>
      </c>
      <c r="G126" s="11" t="s">
        <v>460</v>
      </c>
      <c r="H126" s="11" t="s">
        <v>422</v>
      </c>
      <c r="I126" s="11" t="s">
        <v>423</v>
      </c>
      <c r="J126" s="62" t="s">
        <v>424</v>
      </c>
      <c r="K126" s="39" t="s">
        <v>97</v>
      </c>
      <c r="L126" s="14">
        <v>9</v>
      </c>
      <c r="M126" s="35"/>
      <c r="N126" s="40" t="s">
        <v>97</v>
      </c>
      <c r="O126" s="39" t="s">
        <v>97</v>
      </c>
    </row>
    <row r="127" spans="2:15" x14ac:dyDescent="0.35">
      <c r="B127" s="17">
        <v>10</v>
      </c>
      <c r="C127" s="18" t="s">
        <v>390</v>
      </c>
      <c r="D127" s="19">
        <v>0</v>
      </c>
      <c r="E127" s="20">
        <v>1</v>
      </c>
      <c r="F127" s="19">
        <f t="shared" si="5"/>
        <v>0</v>
      </c>
      <c r="G127" s="18" t="s">
        <v>456</v>
      </c>
      <c r="H127" s="18" t="s">
        <v>425</v>
      </c>
      <c r="I127" s="18" t="s">
        <v>72</v>
      </c>
      <c r="J127" s="64" t="s">
        <v>45</v>
      </c>
      <c r="K127" s="39" t="s">
        <v>97</v>
      </c>
      <c r="L127" s="17">
        <v>10</v>
      </c>
      <c r="M127" s="36"/>
      <c r="N127" s="41" t="s">
        <v>97</v>
      </c>
      <c r="O127" s="39" t="s">
        <v>97</v>
      </c>
    </row>
    <row r="128" spans="2:15" x14ac:dyDescent="0.35">
      <c r="B128" s="14">
        <v>11</v>
      </c>
      <c r="C128" s="11" t="s">
        <v>391</v>
      </c>
      <c r="D128" s="15">
        <v>0</v>
      </c>
      <c r="E128" s="16">
        <v>1</v>
      </c>
      <c r="F128" s="15">
        <f t="shared" si="5"/>
        <v>0</v>
      </c>
      <c r="G128" s="11" t="s">
        <v>456</v>
      </c>
      <c r="H128" s="11" t="s">
        <v>426</v>
      </c>
      <c r="I128" s="11" t="s">
        <v>72</v>
      </c>
      <c r="J128" s="65" t="s">
        <v>45</v>
      </c>
      <c r="K128" s="39" t="s">
        <v>97</v>
      </c>
      <c r="L128" s="14">
        <v>11</v>
      </c>
      <c r="M128" s="35"/>
      <c r="N128" s="40" t="s">
        <v>97</v>
      </c>
      <c r="O128" s="39" t="s">
        <v>97</v>
      </c>
    </row>
    <row r="129" spans="2:15" x14ac:dyDescent="0.35">
      <c r="B129" s="17">
        <v>12</v>
      </c>
      <c r="C129" s="18" t="s">
        <v>267</v>
      </c>
      <c r="D129" s="19">
        <v>2.59</v>
      </c>
      <c r="E129" s="20">
        <v>6</v>
      </c>
      <c r="F129" s="19">
        <f t="shared" si="5"/>
        <v>15.54</v>
      </c>
      <c r="G129" s="18" t="s">
        <v>461</v>
      </c>
      <c r="H129" s="18" t="s">
        <v>326</v>
      </c>
      <c r="I129" s="18" t="s">
        <v>327</v>
      </c>
      <c r="J129" s="63" t="s">
        <v>328</v>
      </c>
      <c r="K129" s="39" t="s">
        <v>97</v>
      </c>
      <c r="L129" s="17">
        <v>12</v>
      </c>
      <c r="M129" s="36"/>
      <c r="N129" s="41" t="s">
        <v>97</v>
      </c>
      <c r="O129" s="39" t="s">
        <v>97</v>
      </c>
    </row>
    <row r="130" spans="2:15" x14ac:dyDescent="0.35">
      <c r="B130" s="14">
        <v>13</v>
      </c>
      <c r="C130" s="11" t="s">
        <v>392</v>
      </c>
      <c r="D130" s="15">
        <v>1.31</v>
      </c>
      <c r="E130" s="16">
        <v>3</v>
      </c>
      <c r="F130" s="15">
        <f t="shared" si="5"/>
        <v>3.93</v>
      </c>
      <c r="G130" s="11" t="s">
        <v>462</v>
      </c>
      <c r="H130" s="11" t="s">
        <v>427</v>
      </c>
      <c r="I130" s="11" t="s">
        <v>428</v>
      </c>
      <c r="J130" s="62" t="s">
        <v>429</v>
      </c>
      <c r="K130" s="39" t="s">
        <v>97</v>
      </c>
      <c r="L130" s="14">
        <v>13</v>
      </c>
      <c r="M130" s="35"/>
      <c r="N130" s="40" t="s">
        <v>97</v>
      </c>
      <c r="O130" s="39" t="s">
        <v>97</v>
      </c>
    </row>
    <row r="131" spans="2:15" x14ac:dyDescent="0.35">
      <c r="B131" s="17">
        <v>14</v>
      </c>
      <c r="C131" s="18" t="s">
        <v>393</v>
      </c>
      <c r="D131" s="19">
        <v>3.6</v>
      </c>
      <c r="E131" s="20">
        <v>2</v>
      </c>
      <c r="F131" s="19">
        <f t="shared" si="5"/>
        <v>7.2</v>
      </c>
      <c r="G131" s="18" t="s">
        <v>463</v>
      </c>
      <c r="H131" s="18" t="s">
        <v>430</v>
      </c>
      <c r="I131" s="18" t="s">
        <v>431</v>
      </c>
      <c r="J131" s="63" t="s">
        <v>432</v>
      </c>
      <c r="K131" s="39" t="s">
        <v>97</v>
      </c>
      <c r="L131" s="17">
        <v>14</v>
      </c>
      <c r="M131" s="36"/>
      <c r="N131" s="41" t="s">
        <v>97</v>
      </c>
      <c r="O131" s="39" t="s">
        <v>97</v>
      </c>
    </row>
    <row r="132" spans="2:15" x14ac:dyDescent="0.35">
      <c r="B132" s="14">
        <v>15</v>
      </c>
      <c r="C132" s="11" t="s">
        <v>394</v>
      </c>
      <c r="D132" s="15">
        <v>7.59</v>
      </c>
      <c r="E132" s="16">
        <v>4</v>
      </c>
      <c r="F132" s="15">
        <f t="shared" si="5"/>
        <v>30.36</v>
      </c>
      <c r="G132" s="11" t="s">
        <v>464</v>
      </c>
      <c r="H132" s="11" t="s">
        <v>433</v>
      </c>
      <c r="I132" s="11" t="s">
        <v>434</v>
      </c>
      <c r="J132" s="62" t="s">
        <v>435</v>
      </c>
      <c r="K132" s="39" t="s">
        <v>97</v>
      </c>
      <c r="L132" s="14">
        <v>15</v>
      </c>
      <c r="M132" s="35"/>
      <c r="N132" s="40" t="s">
        <v>97</v>
      </c>
      <c r="O132" s="39" t="s">
        <v>97</v>
      </c>
    </row>
    <row r="133" spans="2:15" x14ac:dyDescent="0.35">
      <c r="B133" s="17">
        <v>16</v>
      </c>
      <c r="C133" s="18" t="s">
        <v>395</v>
      </c>
      <c r="D133" s="19">
        <v>0</v>
      </c>
      <c r="E133" s="20">
        <v>4</v>
      </c>
      <c r="F133" s="19">
        <f t="shared" si="5"/>
        <v>0</v>
      </c>
      <c r="G133" s="18" t="s">
        <v>456</v>
      </c>
      <c r="H133" s="18" t="s">
        <v>455</v>
      </c>
      <c r="I133" s="18" t="s">
        <v>72</v>
      </c>
      <c r="J133" s="64" t="s">
        <v>45</v>
      </c>
      <c r="K133" s="39" t="s">
        <v>97</v>
      </c>
      <c r="L133" s="17">
        <v>16</v>
      </c>
      <c r="M133" s="36"/>
      <c r="N133" s="41" t="s">
        <v>97</v>
      </c>
      <c r="O133" s="39" t="s">
        <v>97</v>
      </c>
    </row>
    <row r="134" spans="2:15" x14ac:dyDescent="0.35">
      <c r="B134" s="14">
        <v>17</v>
      </c>
      <c r="C134" s="11" t="s">
        <v>396</v>
      </c>
      <c r="D134" s="15">
        <v>18.48</v>
      </c>
      <c r="E134" s="16">
        <v>1</v>
      </c>
      <c r="F134" s="15">
        <f t="shared" si="5"/>
        <v>18.48</v>
      </c>
      <c r="G134" s="11" t="s">
        <v>465</v>
      </c>
      <c r="H134" s="11" t="s">
        <v>436</v>
      </c>
      <c r="I134" s="11" t="s">
        <v>437</v>
      </c>
      <c r="J134" s="62" t="s">
        <v>438</v>
      </c>
      <c r="K134" s="39" t="s">
        <v>97</v>
      </c>
      <c r="L134" s="14">
        <v>17</v>
      </c>
      <c r="M134" s="35"/>
      <c r="N134" s="40" t="s">
        <v>97</v>
      </c>
      <c r="O134" s="39" t="s">
        <v>97</v>
      </c>
    </row>
    <row r="135" spans="2:15" x14ac:dyDescent="0.35">
      <c r="B135" s="17">
        <v>18</v>
      </c>
      <c r="C135" s="18" t="s">
        <v>397</v>
      </c>
      <c r="D135" s="19">
        <v>4.17</v>
      </c>
      <c r="E135" s="20">
        <v>1</v>
      </c>
      <c r="F135" s="19">
        <f t="shared" si="5"/>
        <v>4.17</v>
      </c>
      <c r="G135" s="18" t="s">
        <v>466</v>
      </c>
      <c r="H135" s="18" t="s">
        <v>439</v>
      </c>
      <c r="I135" s="18" t="s">
        <v>440</v>
      </c>
      <c r="J135" s="63" t="s">
        <v>441</v>
      </c>
      <c r="K135" s="39" t="s">
        <v>97</v>
      </c>
      <c r="L135" s="17">
        <v>18</v>
      </c>
      <c r="M135" s="36"/>
      <c r="N135" s="41" t="s">
        <v>97</v>
      </c>
      <c r="O135" s="39" t="s">
        <v>97</v>
      </c>
    </row>
    <row r="136" spans="2:15" x14ac:dyDescent="0.35">
      <c r="B136" s="14">
        <v>19</v>
      </c>
      <c r="C136" s="11" t="s">
        <v>398</v>
      </c>
      <c r="D136" s="15">
        <v>7.79</v>
      </c>
      <c r="E136" s="16">
        <v>1</v>
      </c>
      <c r="F136" s="15">
        <f t="shared" si="5"/>
        <v>7.79</v>
      </c>
      <c r="G136" s="11" t="s">
        <v>467</v>
      </c>
      <c r="H136" s="11" t="s">
        <v>442</v>
      </c>
      <c r="I136" s="11" t="s">
        <v>443</v>
      </c>
      <c r="J136" s="62" t="s">
        <v>444</v>
      </c>
      <c r="K136" s="39" t="s">
        <v>97</v>
      </c>
      <c r="L136" s="14">
        <v>19</v>
      </c>
      <c r="M136" s="35"/>
      <c r="N136" s="40" t="s">
        <v>97</v>
      </c>
      <c r="O136" s="39" t="s">
        <v>97</v>
      </c>
    </row>
    <row r="137" spans="2:15" x14ac:dyDescent="0.35">
      <c r="B137" s="17">
        <v>20</v>
      </c>
      <c r="C137" s="18" t="s">
        <v>399</v>
      </c>
      <c r="D137" s="19">
        <v>6.44</v>
      </c>
      <c r="E137" s="20">
        <v>1</v>
      </c>
      <c r="F137" s="19">
        <f t="shared" si="5"/>
        <v>6.44</v>
      </c>
      <c r="G137" s="18" t="s">
        <v>468</v>
      </c>
      <c r="H137" s="18" t="s">
        <v>445</v>
      </c>
      <c r="I137" s="18" t="s">
        <v>446</v>
      </c>
      <c r="J137" s="63" t="s">
        <v>447</v>
      </c>
      <c r="K137" s="39" t="s">
        <v>97</v>
      </c>
      <c r="L137" s="17">
        <v>20</v>
      </c>
      <c r="M137" s="36"/>
      <c r="N137" s="41" t="s">
        <v>97</v>
      </c>
      <c r="O137" s="39" t="s">
        <v>97</v>
      </c>
    </row>
    <row r="138" spans="2:15" x14ac:dyDescent="0.35">
      <c r="B138" s="14">
        <v>21</v>
      </c>
      <c r="C138" s="11" t="s">
        <v>400</v>
      </c>
      <c r="D138" s="15">
        <v>0</v>
      </c>
      <c r="E138" s="16">
        <v>2</v>
      </c>
      <c r="F138" s="15">
        <f t="shared" si="5"/>
        <v>0</v>
      </c>
      <c r="G138" s="11" t="s">
        <v>456</v>
      </c>
      <c r="H138" s="11" t="s">
        <v>448</v>
      </c>
      <c r="I138" s="11" t="s">
        <v>72</v>
      </c>
      <c r="J138" s="65" t="s">
        <v>82</v>
      </c>
      <c r="K138" s="39" t="s">
        <v>97</v>
      </c>
      <c r="L138" s="14">
        <v>21</v>
      </c>
      <c r="M138" s="35"/>
      <c r="N138" s="40" t="s">
        <v>97</v>
      </c>
      <c r="O138" s="39" t="s">
        <v>97</v>
      </c>
    </row>
    <row r="139" spans="2:15" x14ac:dyDescent="0.35">
      <c r="B139" s="17">
        <v>22</v>
      </c>
      <c r="C139" s="18" t="s">
        <v>401</v>
      </c>
      <c r="D139" s="19">
        <v>0</v>
      </c>
      <c r="E139" s="20">
        <v>2</v>
      </c>
      <c r="F139" s="19">
        <f t="shared" si="5"/>
        <v>0</v>
      </c>
      <c r="G139" s="18" t="s">
        <v>456</v>
      </c>
      <c r="H139" s="18" t="s">
        <v>449</v>
      </c>
      <c r="I139" s="18" t="s">
        <v>72</v>
      </c>
      <c r="J139" s="64" t="s">
        <v>82</v>
      </c>
      <c r="K139" s="39" t="s">
        <v>97</v>
      </c>
      <c r="L139" s="17">
        <v>22</v>
      </c>
      <c r="M139" s="36"/>
      <c r="N139" s="41" t="s">
        <v>97</v>
      </c>
      <c r="O139" s="39" t="s">
        <v>97</v>
      </c>
    </row>
    <row r="140" spans="2:15" x14ac:dyDescent="0.35">
      <c r="B140" s="14">
        <v>23</v>
      </c>
      <c r="C140" s="11" t="s">
        <v>402</v>
      </c>
      <c r="D140" s="15">
        <v>0</v>
      </c>
      <c r="E140" s="16">
        <v>1</v>
      </c>
      <c r="F140" s="15">
        <f t="shared" si="5"/>
        <v>0</v>
      </c>
      <c r="G140" s="11" t="s">
        <v>45</v>
      </c>
      <c r="H140" s="11" t="s">
        <v>450</v>
      </c>
      <c r="I140" s="11" t="s">
        <v>72</v>
      </c>
      <c r="J140" s="65" t="s">
        <v>82</v>
      </c>
      <c r="K140" s="39" t="s">
        <v>97</v>
      </c>
      <c r="L140" s="14">
        <v>23</v>
      </c>
      <c r="M140" s="35"/>
      <c r="N140" s="40" t="s">
        <v>97</v>
      </c>
      <c r="O140" s="39" t="s">
        <v>97</v>
      </c>
    </row>
    <row r="141" spans="2:15" x14ac:dyDescent="0.35">
      <c r="B141" s="17">
        <v>24</v>
      </c>
      <c r="C141" s="18" t="s">
        <v>403</v>
      </c>
      <c r="D141" s="19">
        <v>0</v>
      </c>
      <c r="E141" s="20">
        <v>1</v>
      </c>
      <c r="F141" s="19">
        <f t="shared" si="5"/>
        <v>0</v>
      </c>
      <c r="G141" s="18" t="s">
        <v>45</v>
      </c>
      <c r="H141" s="18" t="s">
        <v>451</v>
      </c>
      <c r="I141" s="18" t="s">
        <v>72</v>
      </c>
      <c r="J141" s="64" t="s">
        <v>82</v>
      </c>
      <c r="K141" s="39" t="s">
        <v>97</v>
      </c>
      <c r="L141" s="17">
        <v>24</v>
      </c>
      <c r="M141" s="36"/>
      <c r="N141" s="41" t="s">
        <v>97</v>
      </c>
      <c r="O141" s="39" t="s">
        <v>97</v>
      </c>
    </row>
    <row r="142" spans="2:15" x14ac:dyDescent="0.35">
      <c r="B142" s="14">
        <v>25</v>
      </c>
      <c r="C142" s="11" t="s">
        <v>404</v>
      </c>
      <c r="D142" s="15">
        <v>0</v>
      </c>
      <c r="E142" s="16">
        <v>1</v>
      </c>
      <c r="F142" s="15">
        <f t="shared" si="5"/>
        <v>0</v>
      </c>
      <c r="G142" s="11" t="s">
        <v>45</v>
      </c>
      <c r="H142" s="11" t="s">
        <v>452</v>
      </c>
      <c r="I142" s="11" t="s">
        <v>72</v>
      </c>
      <c r="J142" s="65" t="s">
        <v>82</v>
      </c>
      <c r="K142" s="39" t="s">
        <v>97</v>
      </c>
      <c r="L142" s="14">
        <v>25</v>
      </c>
      <c r="M142" s="35"/>
      <c r="N142" s="40" t="s">
        <v>97</v>
      </c>
      <c r="O142" s="39" t="s">
        <v>97</v>
      </c>
    </row>
    <row r="143" spans="2:15" x14ac:dyDescent="0.35">
      <c r="B143" s="17">
        <v>26</v>
      </c>
      <c r="C143" s="18" t="s">
        <v>405</v>
      </c>
      <c r="D143" s="19">
        <v>0</v>
      </c>
      <c r="E143" s="20">
        <v>1</v>
      </c>
      <c r="F143" s="19">
        <f t="shared" si="5"/>
        <v>0</v>
      </c>
      <c r="G143" s="18" t="s">
        <v>45</v>
      </c>
      <c r="H143" s="18" t="s">
        <v>453</v>
      </c>
      <c r="I143" s="18" t="s">
        <v>72</v>
      </c>
      <c r="J143" s="64" t="s">
        <v>82</v>
      </c>
      <c r="K143" s="39" t="s">
        <v>97</v>
      </c>
      <c r="L143" s="17">
        <v>26</v>
      </c>
      <c r="M143" s="36"/>
      <c r="N143" s="41" t="s">
        <v>97</v>
      </c>
      <c r="O143" s="39" t="s">
        <v>97</v>
      </c>
    </row>
    <row r="144" spans="2:15" x14ac:dyDescent="0.35">
      <c r="B144" s="14">
        <v>27</v>
      </c>
      <c r="C144" s="11" t="s">
        <v>406</v>
      </c>
      <c r="D144" s="15">
        <v>0</v>
      </c>
      <c r="E144" s="16">
        <v>1</v>
      </c>
      <c r="F144" s="15">
        <f t="shared" si="5"/>
        <v>0</v>
      </c>
      <c r="G144" s="11" t="s">
        <v>45</v>
      </c>
      <c r="H144" s="11" t="s">
        <v>454</v>
      </c>
      <c r="I144" s="11" t="s">
        <v>72</v>
      </c>
      <c r="J144" s="65" t="s">
        <v>82</v>
      </c>
      <c r="K144" s="39" t="s">
        <v>97</v>
      </c>
      <c r="L144" s="14">
        <v>27</v>
      </c>
      <c r="M144" s="35"/>
      <c r="N144" s="40" t="s">
        <v>97</v>
      </c>
      <c r="O144" s="39" t="s">
        <v>97</v>
      </c>
    </row>
    <row r="145" spans="2:15" ht="15" thickBot="1" x14ac:dyDescent="0.4">
      <c r="B145" s="21"/>
      <c r="C145" s="22"/>
      <c r="D145" s="83" t="s">
        <v>96</v>
      </c>
      <c r="E145" s="83"/>
      <c r="F145" s="23">
        <f>SUM(F118:F144)</f>
        <v>128.95000000000002</v>
      </c>
      <c r="G145" s="22"/>
      <c r="H145" s="22"/>
      <c r="I145" s="22"/>
      <c r="J145" s="6"/>
      <c r="K145" s="39" t="s">
        <v>97</v>
      </c>
      <c r="L145" s="34"/>
      <c r="M145" s="37"/>
      <c r="N145" s="38"/>
      <c r="O145" s="39" t="s">
        <v>97</v>
      </c>
    </row>
    <row r="146" spans="2:15" x14ac:dyDescent="0.35">
      <c r="O146" s="39" t="s">
        <v>97</v>
      </c>
    </row>
    <row r="147" spans="2:15" x14ac:dyDescent="0.35">
      <c r="O147" s="39" t="s">
        <v>97</v>
      </c>
    </row>
    <row r="148" spans="2:15" x14ac:dyDescent="0.35">
      <c r="B148" s="28" t="s">
        <v>469</v>
      </c>
      <c r="C148" s="2" t="s">
        <v>470</v>
      </c>
      <c r="K148" s="33"/>
      <c r="L148" s="33"/>
      <c r="M148" s="33"/>
      <c r="N148" s="33"/>
      <c r="O148" s="33"/>
    </row>
    <row r="149" spans="2:15" ht="15" thickBot="1" x14ac:dyDescent="0.4">
      <c r="K149" s="33"/>
      <c r="L149" s="33"/>
      <c r="M149" s="33"/>
      <c r="N149" s="33"/>
      <c r="O149" s="33"/>
    </row>
    <row r="150" spans="2:15" x14ac:dyDescent="0.35">
      <c r="B150" s="24" t="s">
        <v>6</v>
      </c>
      <c r="C150" s="25" t="s">
        <v>7</v>
      </c>
      <c r="D150" s="25" t="s">
        <v>8</v>
      </c>
      <c r="E150" s="26" t="s">
        <v>9</v>
      </c>
      <c r="F150" s="25" t="s">
        <v>10</v>
      </c>
      <c r="G150" s="25" t="s">
        <v>11</v>
      </c>
      <c r="H150" s="25" t="s">
        <v>12</v>
      </c>
      <c r="I150" s="25" t="s">
        <v>13</v>
      </c>
      <c r="J150" s="27" t="s">
        <v>14</v>
      </c>
      <c r="K150" s="33"/>
      <c r="L150" s="24" t="s">
        <v>6</v>
      </c>
      <c r="M150" s="25" t="s">
        <v>290</v>
      </c>
      <c r="N150" s="27" t="s">
        <v>291</v>
      </c>
      <c r="O150" s="33"/>
    </row>
    <row r="151" spans="2:15" x14ac:dyDescent="0.35">
      <c r="B151" s="14">
        <v>1</v>
      </c>
      <c r="C151" s="11" t="s">
        <v>519</v>
      </c>
      <c r="D151" s="15">
        <v>20</v>
      </c>
      <c r="E151" s="16">
        <v>2</v>
      </c>
      <c r="F151" s="15">
        <f>D151*E151</f>
        <v>40</v>
      </c>
      <c r="G151" s="11" t="s">
        <v>537</v>
      </c>
      <c r="H151" s="11" t="s">
        <v>471</v>
      </c>
      <c r="I151" s="11" t="s">
        <v>472</v>
      </c>
      <c r="J151" s="29" t="s">
        <v>473</v>
      </c>
      <c r="K151" s="39" t="s">
        <v>97</v>
      </c>
      <c r="L151" s="14">
        <v>1</v>
      </c>
      <c r="M151" s="42" t="s">
        <v>514</v>
      </c>
      <c r="N151" s="43" t="s">
        <v>515</v>
      </c>
      <c r="O151" s="39" t="s">
        <v>97</v>
      </c>
    </row>
    <row r="152" spans="2:15" x14ac:dyDescent="0.35">
      <c r="B152" s="17">
        <f>B151+1</f>
        <v>2</v>
      </c>
      <c r="C152" s="18" t="s">
        <v>520</v>
      </c>
      <c r="D152" s="19">
        <v>24.99</v>
      </c>
      <c r="E152" s="20">
        <v>1</v>
      </c>
      <c r="F152" s="19">
        <f>D152*E152</f>
        <v>24.99</v>
      </c>
      <c r="G152" s="18" t="s">
        <v>538</v>
      </c>
      <c r="H152" s="18" t="s">
        <v>474</v>
      </c>
      <c r="I152" s="18" t="s">
        <v>475</v>
      </c>
      <c r="J152" s="63" t="s">
        <v>476</v>
      </c>
      <c r="K152" s="39" t="s">
        <v>97</v>
      </c>
      <c r="L152" s="17">
        <v>2</v>
      </c>
      <c r="M152" s="36"/>
      <c r="N152" s="41" t="s">
        <v>97</v>
      </c>
      <c r="O152" s="39" t="s">
        <v>97</v>
      </c>
    </row>
    <row r="153" spans="2:15" x14ac:dyDescent="0.35">
      <c r="B153" s="14">
        <v>3</v>
      </c>
      <c r="C153" s="11" t="s">
        <v>521</v>
      </c>
      <c r="D153" s="15">
        <v>13.95</v>
      </c>
      <c r="E153" s="16">
        <v>1</v>
      </c>
      <c r="F153" s="15">
        <f t="shared" ref="F153:F168" si="6">D153*E153</f>
        <v>13.95</v>
      </c>
      <c r="G153" s="11" t="s">
        <v>539</v>
      </c>
      <c r="H153" s="11" t="s">
        <v>477</v>
      </c>
      <c r="I153" s="11" t="s">
        <v>478</v>
      </c>
      <c r="J153" s="62" t="s">
        <v>476</v>
      </c>
      <c r="K153" s="39" t="s">
        <v>97</v>
      </c>
      <c r="L153" s="14">
        <v>3</v>
      </c>
      <c r="M153" s="35"/>
      <c r="N153" s="40" t="s">
        <v>97</v>
      </c>
      <c r="O153" s="39" t="s">
        <v>97</v>
      </c>
    </row>
    <row r="154" spans="2:15" x14ac:dyDescent="0.35">
      <c r="B154" s="17">
        <v>4</v>
      </c>
      <c r="C154" s="18" t="s">
        <v>522</v>
      </c>
      <c r="D154" s="19">
        <v>20</v>
      </c>
      <c r="E154" s="20">
        <v>1</v>
      </c>
      <c r="F154" s="19">
        <f t="shared" si="6"/>
        <v>20</v>
      </c>
      <c r="G154" s="18" t="s">
        <v>540</v>
      </c>
      <c r="H154" s="18" t="s">
        <v>479</v>
      </c>
      <c r="I154" s="18" t="s">
        <v>480</v>
      </c>
      <c r="J154" s="63" t="s">
        <v>481</v>
      </c>
      <c r="K154" s="39" t="s">
        <v>97</v>
      </c>
      <c r="L154" s="17">
        <v>4</v>
      </c>
      <c r="M154" s="44" t="s">
        <v>516</v>
      </c>
      <c r="N154" s="41" t="s">
        <v>97</v>
      </c>
      <c r="O154" s="39" t="s">
        <v>97</v>
      </c>
    </row>
    <row r="155" spans="2:15" x14ac:dyDescent="0.35">
      <c r="B155" s="14">
        <v>5</v>
      </c>
      <c r="C155" s="11" t="s">
        <v>523</v>
      </c>
      <c r="D155" s="15">
        <v>0.55000000000000004</v>
      </c>
      <c r="E155" s="16">
        <v>50</v>
      </c>
      <c r="F155" s="15">
        <f t="shared" si="6"/>
        <v>27.500000000000004</v>
      </c>
      <c r="G155" s="11" t="s">
        <v>541</v>
      </c>
      <c r="H155" s="11" t="s">
        <v>482</v>
      </c>
      <c r="I155" s="11" t="s">
        <v>483</v>
      </c>
      <c r="J155" s="62" t="s">
        <v>484</v>
      </c>
      <c r="K155" s="39" t="s">
        <v>97</v>
      </c>
      <c r="L155" s="14">
        <v>5</v>
      </c>
      <c r="M155" s="42" t="s">
        <v>517</v>
      </c>
      <c r="N155" s="40" t="s">
        <v>97</v>
      </c>
      <c r="O155" s="39" t="s">
        <v>97</v>
      </c>
    </row>
    <row r="156" spans="2:15" x14ac:dyDescent="0.35">
      <c r="B156" s="17">
        <v>6</v>
      </c>
      <c r="C156" s="18" t="s">
        <v>524</v>
      </c>
      <c r="D156" s="19">
        <v>9.5</v>
      </c>
      <c r="E156" s="20">
        <v>2</v>
      </c>
      <c r="F156" s="19">
        <f t="shared" si="6"/>
        <v>19</v>
      </c>
      <c r="G156" s="18" t="s">
        <v>542</v>
      </c>
      <c r="H156" s="18" t="s">
        <v>485</v>
      </c>
      <c r="I156" s="18" t="s">
        <v>486</v>
      </c>
      <c r="J156" s="63" t="s">
        <v>487</v>
      </c>
      <c r="K156" s="39" t="s">
        <v>97</v>
      </c>
      <c r="L156" s="17">
        <v>6</v>
      </c>
      <c r="M156" s="44" t="s">
        <v>518</v>
      </c>
      <c r="N156" s="41" t="s">
        <v>97</v>
      </c>
      <c r="O156" s="39" t="s">
        <v>97</v>
      </c>
    </row>
    <row r="157" spans="2:15" x14ac:dyDescent="0.35">
      <c r="B157" s="14">
        <v>7</v>
      </c>
      <c r="C157" s="11" t="s">
        <v>525</v>
      </c>
      <c r="D157" s="15">
        <v>0</v>
      </c>
      <c r="E157" s="16">
        <v>1</v>
      </c>
      <c r="F157" s="15">
        <f t="shared" si="6"/>
        <v>0</v>
      </c>
      <c r="G157" s="11" t="s">
        <v>543</v>
      </c>
      <c r="H157" s="11" t="s">
        <v>488</v>
      </c>
      <c r="I157" s="11" t="s">
        <v>72</v>
      </c>
      <c r="J157" s="65" t="s">
        <v>489</v>
      </c>
      <c r="K157" s="39" t="s">
        <v>97</v>
      </c>
      <c r="L157" s="14">
        <v>7</v>
      </c>
      <c r="M157" s="35"/>
      <c r="N157" s="40" t="s">
        <v>97</v>
      </c>
      <c r="O157" s="39" t="s">
        <v>97</v>
      </c>
    </row>
    <row r="158" spans="2:15" x14ac:dyDescent="0.35">
      <c r="B158" s="17">
        <v>8</v>
      </c>
      <c r="C158" s="18" t="s">
        <v>526</v>
      </c>
      <c r="D158" s="19">
        <v>6.78</v>
      </c>
      <c r="E158" s="20">
        <v>3</v>
      </c>
      <c r="F158" s="19">
        <f t="shared" si="6"/>
        <v>20.34</v>
      </c>
      <c r="G158" s="18" t="s">
        <v>544</v>
      </c>
      <c r="H158" s="18" t="s">
        <v>490</v>
      </c>
      <c r="I158" s="18" t="s">
        <v>72</v>
      </c>
      <c r="J158" s="63" t="s">
        <v>318</v>
      </c>
      <c r="K158" s="39" t="s">
        <v>97</v>
      </c>
      <c r="L158" s="17">
        <v>8</v>
      </c>
      <c r="M158" s="36"/>
      <c r="N158" s="41" t="s">
        <v>97</v>
      </c>
      <c r="O158" s="39" t="s">
        <v>97</v>
      </c>
    </row>
    <row r="159" spans="2:15" x14ac:dyDescent="0.35">
      <c r="B159" s="14">
        <v>9</v>
      </c>
      <c r="C159" s="11" t="s">
        <v>527</v>
      </c>
      <c r="D159" s="15">
        <v>0</v>
      </c>
      <c r="E159" s="16">
        <v>2</v>
      </c>
      <c r="F159" s="15">
        <f t="shared" si="6"/>
        <v>0</v>
      </c>
      <c r="G159" s="11" t="s">
        <v>545</v>
      </c>
      <c r="H159" s="11" t="s">
        <v>491</v>
      </c>
      <c r="I159" s="11" t="s">
        <v>72</v>
      </c>
      <c r="J159" s="65" t="s">
        <v>82</v>
      </c>
      <c r="K159" s="39" t="s">
        <v>97</v>
      </c>
      <c r="L159" s="14">
        <v>9</v>
      </c>
      <c r="M159" s="35"/>
      <c r="N159" s="40" t="s">
        <v>97</v>
      </c>
      <c r="O159" s="39" t="s">
        <v>97</v>
      </c>
    </row>
    <row r="160" spans="2:15" x14ac:dyDescent="0.35">
      <c r="B160" s="17">
        <v>10</v>
      </c>
      <c r="C160" s="18" t="s">
        <v>528</v>
      </c>
      <c r="D160" s="19">
        <v>0</v>
      </c>
      <c r="E160" s="20">
        <v>1</v>
      </c>
      <c r="F160" s="19">
        <f t="shared" si="6"/>
        <v>0</v>
      </c>
      <c r="G160" s="18" t="s">
        <v>546</v>
      </c>
      <c r="H160" s="18" t="s">
        <v>492</v>
      </c>
      <c r="I160" s="18" t="s">
        <v>72</v>
      </c>
      <c r="J160" s="64" t="s">
        <v>82</v>
      </c>
      <c r="K160" s="39" t="s">
        <v>97</v>
      </c>
      <c r="L160" s="17">
        <v>10</v>
      </c>
      <c r="M160" s="36"/>
      <c r="N160" s="41" t="s">
        <v>97</v>
      </c>
      <c r="O160" s="39" t="s">
        <v>97</v>
      </c>
    </row>
    <row r="161" spans="2:15" x14ac:dyDescent="0.35">
      <c r="B161" s="14">
        <v>11</v>
      </c>
      <c r="C161" s="11" t="s">
        <v>529</v>
      </c>
      <c r="D161" s="15">
        <v>0</v>
      </c>
      <c r="E161" s="16">
        <v>1</v>
      </c>
      <c r="F161" s="15">
        <f t="shared" si="6"/>
        <v>0</v>
      </c>
      <c r="G161" s="11" t="s">
        <v>547</v>
      </c>
      <c r="H161" s="11" t="s">
        <v>493</v>
      </c>
      <c r="I161" s="11" t="s">
        <v>72</v>
      </c>
      <c r="J161" s="65" t="s">
        <v>82</v>
      </c>
      <c r="K161" s="39" t="s">
        <v>97</v>
      </c>
      <c r="L161" s="14">
        <v>11</v>
      </c>
      <c r="M161" s="35"/>
      <c r="N161" s="40" t="s">
        <v>97</v>
      </c>
      <c r="O161" s="39" t="s">
        <v>97</v>
      </c>
    </row>
    <row r="162" spans="2:15" x14ac:dyDescent="0.35">
      <c r="B162" s="17">
        <v>12</v>
      </c>
      <c r="C162" s="18" t="s">
        <v>530</v>
      </c>
      <c r="D162" s="19">
        <v>0.52</v>
      </c>
      <c r="E162" s="20">
        <v>4</v>
      </c>
      <c r="F162" s="19">
        <f t="shared" si="6"/>
        <v>2.08</v>
      </c>
      <c r="G162" s="18" t="s">
        <v>548</v>
      </c>
      <c r="H162" s="18" t="s">
        <v>494</v>
      </c>
      <c r="I162" s="18" t="s">
        <v>495</v>
      </c>
      <c r="J162" s="63" t="s">
        <v>496</v>
      </c>
      <c r="K162" s="39" t="s">
        <v>97</v>
      </c>
      <c r="L162" s="17">
        <v>12</v>
      </c>
      <c r="M162" s="36"/>
      <c r="N162" s="41" t="s">
        <v>97</v>
      </c>
      <c r="O162" s="39" t="s">
        <v>97</v>
      </c>
    </row>
    <row r="163" spans="2:15" x14ac:dyDescent="0.35">
      <c r="B163" s="14">
        <v>13</v>
      </c>
      <c r="C163" s="11" t="s">
        <v>531</v>
      </c>
      <c r="D163" s="15">
        <v>3.97</v>
      </c>
      <c r="E163" s="16">
        <v>1</v>
      </c>
      <c r="F163" s="15">
        <f t="shared" si="6"/>
        <v>3.97</v>
      </c>
      <c r="G163" s="11" t="s">
        <v>549</v>
      </c>
      <c r="H163" s="11" t="s">
        <v>497</v>
      </c>
      <c r="I163" s="11" t="s">
        <v>498</v>
      </c>
      <c r="J163" s="62" t="s">
        <v>499</v>
      </c>
      <c r="K163" s="39" t="s">
        <v>97</v>
      </c>
      <c r="L163" s="14">
        <v>13</v>
      </c>
      <c r="M163" s="35"/>
      <c r="N163" s="40" t="s">
        <v>97</v>
      </c>
      <c r="O163" s="39" t="s">
        <v>97</v>
      </c>
    </row>
    <row r="164" spans="2:15" x14ac:dyDescent="0.35">
      <c r="B164" s="17">
        <v>14</v>
      </c>
      <c r="C164" s="18" t="s">
        <v>532</v>
      </c>
      <c r="D164" s="19">
        <v>8.43</v>
      </c>
      <c r="E164" s="20">
        <v>1</v>
      </c>
      <c r="F164" s="19">
        <f t="shared" si="6"/>
        <v>8.43</v>
      </c>
      <c r="G164" s="18" t="s">
        <v>550</v>
      </c>
      <c r="H164" s="18" t="s">
        <v>500</v>
      </c>
      <c r="I164" s="18" t="s">
        <v>501</v>
      </c>
      <c r="J164" s="63" t="s">
        <v>502</v>
      </c>
      <c r="K164" s="39" t="s">
        <v>97</v>
      </c>
      <c r="L164" s="17">
        <v>14</v>
      </c>
      <c r="M164" s="36"/>
      <c r="N164" s="41" t="s">
        <v>97</v>
      </c>
      <c r="O164" s="39" t="s">
        <v>97</v>
      </c>
    </row>
    <row r="165" spans="2:15" x14ac:dyDescent="0.35">
      <c r="B165" s="14">
        <v>15</v>
      </c>
      <c r="C165" s="11" t="s">
        <v>533</v>
      </c>
      <c r="D165" s="15">
        <v>1.21</v>
      </c>
      <c r="E165" s="16">
        <v>2</v>
      </c>
      <c r="F165" s="15">
        <f t="shared" si="6"/>
        <v>2.42</v>
      </c>
      <c r="G165" s="11" t="s">
        <v>551</v>
      </c>
      <c r="H165" s="11" t="s">
        <v>503</v>
      </c>
      <c r="I165" s="11" t="s">
        <v>504</v>
      </c>
      <c r="J165" s="62" t="s">
        <v>505</v>
      </c>
      <c r="K165" s="39" t="s">
        <v>97</v>
      </c>
      <c r="L165" s="14">
        <v>15</v>
      </c>
      <c r="M165" s="35"/>
      <c r="N165" s="40" t="s">
        <v>97</v>
      </c>
      <c r="O165" s="39" t="s">
        <v>97</v>
      </c>
    </row>
    <row r="166" spans="2:15" x14ac:dyDescent="0.35">
      <c r="B166" s="17">
        <v>16</v>
      </c>
      <c r="C166" s="18" t="s">
        <v>534</v>
      </c>
      <c r="D166" s="19">
        <v>8</v>
      </c>
      <c r="E166" s="20">
        <v>1</v>
      </c>
      <c r="F166" s="19">
        <f t="shared" si="6"/>
        <v>8</v>
      </c>
      <c r="G166" s="18" t="s">
        <v>551</v>
      </c>
      <c r="H166" s="18" t="s">
        <v>506</v>
      </c>
      <c r="I166" s="18" t="s">
        <v>507</v>
      </c>
      <c r="J166" s="64" t="s">
        <v>508</v>
      </c>
      <c r="K166" s="39" t="s">
        <v>97</v>
      </c>
      <c r="L166" s="17">
        <v>16</v>
      </c>
      <c r="M166" s="36"/>
      <c r="N166" s="41" t="s">
        <v>97</v>
      </c>
      <c r="O166" s="39" t="s">
        <v>97</v>
      </c>
    </row>
    <row r="167" spans="2:15" x14ac:dyDescent="0.35">
      <c r="B167" s="14">
        <v>17</v>
      </c>
      <c r="C167" s="11" t="s">
        <v>535</v>
      </c>
      <c r="D167" s="15">
        <v>2.97</v>
      </c>
      <c r="E167" s="16">
        <v>4</v>
      </c>
      <c r="F167" s="15">
        <f t="shared" si="6"/>
        <v>11.88</v>
      </c>
      <c r="G167" s="11" t="s">
        <v>552</v>
      </c>
      <c r="H167" s="11" t="s">
        <v>509</v>
      </c>
      <c r="I167" s="11" t="s">
        <v>510</v>
      </c>
      <c r="J167" s="62" t="s">
        <v>511</v>
      </c>
      <c r="K167" s="39" t="s">
        <v>97</v>
      </c>
      <c r="L167" s="14">
        <v>17</v>
      </c>
      <c r="M167" s="35"/>
      <c r="N167" s="40" t="s">
        <v>97</v>
      </c>
      <c r="O167" s="39" t="s">
        <v>97</v>
      </c>
    </row>
    <row r="168" spans="2:15" x14ac:dyDescent="0.35">
      <c r="B168" s="17">
        <v>18</v>
      </c>
      <c r="C168" s="18" t="s">
        <v>536</v>
      </c>
      <c r="D168" s="19">
        <v>8.99</v>
      </c>
      <c r="E168" s="20">
        <v>1</v>
      </c>
      <c r="F168" s="19">
        <f t="shared" si="6"/>
        <v>8.99</v>
      </c>
      <c r="G168" s="18" t="s">
        <v>553</v>
      </c>
      <c r="H168" s="18" t="s">
        <v>512</v>
      </c>
      <c r="I168" s="18" t="s">
        <v>513</v>
      </c>
      <c r="J168" s="67" t="s">
        <v>476</v>
      </c>
      <c r="K168" s="39" t="s">
        <v>97</v>
      </c>
      <c r="L168" s="17">
        <v>18</v>
      </c>
      <c r="M168" s="36"/>
      <c r="N168" s="41" t="s">
        <v>97</v>
      </c>
      <c r="O168" s="39" t="s">
        <v>97</v>
      </c>
    </row>
    <row r="169" spans="2:15" ht="15" thickBot="1" x14ac:dyDescent="0.4">
      <c r="B169" s="21"/>
      <c r="C169" s="22"/>
      <c r="D169" s="83" t="s">
        <v>96</v>
      </c>
      <c r="E169" s="83"/>
      <c r="F169" s="23">
        <f>SUM(F151:F168)</f>
        <v>211.55</v>
      </c>
      <c r="G169" s="22"/>
      <c r="H169" s="22"/>
      <c r="I169" s="22"/>
      <c r="J169" s="6"/>
      <c r="K169" s="39" t="s">
        <v>97</v>
      </c>
      <c r="L169" s="34"/>
      <c r="M169" s="37"/>
      <c r="N169" s="38"/>
      <c r="O169" s="39" t="s">
        <v>97</v>
      </c>
    </row>
    <row r="170" spans="2:15" x14ac:dyDescent="0.35">
      <c r="O170" s="39" t="s">
        <v>97</v>
      </c>
    </row>
    <row r="171" spans="2:15" x14ac:dyDescent="0.35">
      <c r="O171" s="39" t="s">
        <v>97</v>
      </c>
    </row>
    <row r="172" spans="2:15" x14ac:dyDescent="0.35">
      <c r="O172" s="39" t="s">
        <v>97</v>
      </c>
    </row>
    <row r="173" spans="2:15" x14ac:dyDescent="0.35">
      <c r="O173" s="39" t="s">
        <v>97</v>
      </c>
    </row>
    <row r="174" spans="2:15" x14ac:dyDescent="0.35">
      <c r="O174" s="39" t="s">
        <v>97</v>
      </c>
    </row>
    <row r="175" spans="2:15" x14ac:dyDescent="0.35">
      <c r="O175" s="39" t="s">
        <v>97</v>
      </c>
    </row>
    <row r="176" spans="2:15" x14ac:dyDescent="0.35">
      <c r="O176" s="39" t="s">
        <v>97</v>
      </c>
    </row>
    <row r="177" spans="15:15" x14ac:dyDescent="0.35">
      <c r="O177" s="39" t="s">
        <v>97</v>
      </c>
    </row>
    <row r="178" spans="15:15" x14ac:dyDescent="0.35">
      <c r="O178" s="39" t="s">
        <v>97</v>
      </c>
    </row>
    <row r="179" spans="15:15" x14ac:dyDescent="0.35">
      <c r="O179" s="39" t="s">
        <v>97</v>
      </c>
    </row>
    <row r="180" spans="15:15" x14ac:dyDescent="0.35">
      <c r="O180" s="39" t="s">
        <v>97</v>
      </c>
    </row>
    <row r="181" spans="15:15" x14ac:dyDescent="0.35">
      <c r="O181" s="39" t="s">
        <v>97</v>
      </c>
    </row>
    <row r="182" spans="15:15" x14ac:dyDescent="0.35">
      <c r="O182" s="39" t="s">
        <v>97</v>
      </c>
    </row>
    <row r="183" spans="15:15" x14ac:dyDescent="0.35">
      <c r="O183" s="39" t="s">
        <v>97</v>
      </c>
    </row>
    <row r="184" spans="15:15" x14ac:dyDescent="0.35">
      <c r="O184" s="39" t="s">
        <v>97</v>
      </c>
    </row>
    <row r="185" spans="15:15" x14ac:dyDescent="0.35">
      <c r="O185" s="39" t="s">
        <v>97</v>
      </c>
    </row>
    <row r="186" spans="15:15" x14ac:dyDescent="0.35">
      <c r="O186" s="39" t="s">
        <v>97</v>
      </c>
    </row>
    <row r="187" spans="15:15" x14ac:dyDescent="0.35">
      <c r="O187" s="39" t="s">
        <v>97</v>
      </c>
    </row>
    <row r="188" spans="15:15" x14ac:dyDescent="0.35">
      <c r="O188" s="39" t="s">
        <v>97</v>
      </c>
    </row>
    <row r="189" spans="15:15" x14ac:dyDescent="0.35">
      <c r="O189" s="39" t="s">
        <v>97</v>
      </c>
    </row>
    <row r="190" spans="15:15" x14ac:dyDescent="0.35">
      <c r="O190" s="39" t="s">
        <v>97</v>
      </c>
    </row>
    <row r="191" spans="15:15" x14ac:dyDescent="0.35">
      <c r="O191" s="39" t="s">
        <v>97</v>
      </c>
    </row>
    <row r="192" spans="15:15" x14ac:dyDescent="0.35">
      <c r="O192" s="39" t="s">
        <v>97</v>
      </c>
    </row>
    <row r="193" spans="15:15" x14ac:dyDescent="0.35">
      <c r="O193" s="39" t="s">
        <v>97</v>
      </c>
    </row>
    <row r="194" spans="15:15" x14ac:dyDescent="0.35">
      <c r="O194" s="39" t="s">
        <v>97</v>
      </c>
    </row>
    <row r="195" spans="15:15" x14ac:dyDescent="0.35">
      <c r="O195" s="39" t="s">
        <v>97</v>
      </c>
    </row>
    <row r="196" spans="15:15" x14ac:dyDescent="0.35">
      <c r="O196" s="39" t="s">
        <v>97</v>
      </c>
    </row>
    <row r="197" spans="15:15" x14ac:dyDescent="0.35">
      <c r="O197" s="39" t="s">
        <v>97</v>
      </c>
    </row>
    <row r="198" spans="15:15" x14ac:dyDescent="0.35">
      <c r="O198" s="39" t="s">
        <v>97</v>
      </c>
    </row>
    <row r="199" spans="15:15" x14ac:dyDescent="0.35">
      <c r="O199" s="39" t="s">
        <v>97</v>
      </c>
    </row>
    <row r="200" spans="15:15" x14ac:dyDescent="0.35">
      <c r="O200" s="39" t="s">
        <v>97</v>
      </c>
    </row>
    <row r="201" spans="15:15" x14ac:dyDescent="0.35">
      <c r="O201" s="39" t="s">
        <v>97</v>
      </c>
    </row>
  </sheetData>
  <mergeCells count="7">
    <mergeCell ref="D145:E145"/>
    <mergeCell ref="D169:E169"/>
    <mergeCell ref="D24:E24"/>
    <mergeCell ref="D50:E50"/>
    <mergeCell ref="D71:E71"/>
    <mergeCell ref="D98:E98"/>
    <mergeCell ref="D112:E112"/>
  </mergeCells>
  <hyperlinks>
    <hyperlink ref="J5" r:id="rId1" xr:uid="{4400C7CA-E45F-45FF-96A5-E0C8ACD28F60}"/>
    <hyperlink ref="J6" r:id="rId2" xr:uid="{548E9085-5A07-4277-8276-AF036E33A469}"/>
    <hyperlink ref="J7" r:id="rId3" xr:uid="{D20EA586-76DF-46D4-822F-9E43614D733C}"/>
    <hyperlink ref="J8" r:id="rId4" xr:uid="{B1AE5132-C253-4029-852B-322A43D1B0C2}"/>
    <hyperlink ref="J9" r:id="rId5" xr:uid="{093FF67C-9B85-4E0E-BD5F-F6D9B24D4291}"/>
    <hyperlink ref="J10" r:id="rId6" xr:uid="{40F5D516-BF5E-4F1A-A585-EFC0466EF40E}"/>
    <hyperlink ref="J11" r:id="rId7" xr:uid="{F93A74F0-956B-46CC-9C5F-097ECE032385}"/>
    <hyperlink ref="J12" r:id="rId8" xr:uid="{91E35C70-05E6-440A-AE9B-85186FC087FB}"/>
    <hyperlink ref="J13" r:id="rId9" xr:uid="{AF8DA42F-EE5B-4A78-BCEF-8C0453134BB1}"/>
    <hyperlink ref="J14" r:id="rId10" xr:uid="{3E23761F-AF97-4E00-8FA4-0D1E0A71F67D}"/>
    <hyperlink ref="J15" r:id="rId11" xr:uid="{BAC6C89F-6C4B-4209-9B57-0BCA24251F5E}"/>
    <hyperlink ref="J16" r:id="rId12" xr:uid="{0B1E0234-BB6D-4A21-B55B-0633B01AEFCA}"/>
    <hyperlink ref="J30" r:id="rId13" xr:uid="{F69AD0F4-15BD-4530-918F-7F9F51E8E647}"/>
    <hyperlink ref="J32" r:id="rId14" xr:uid="{D4822A22-88E4-4C9E-ADEE-F8F5E1096957}"/>
    <hyperlink ref="J33" r:id="rId15" xr:uid="{815B73D1-D58D-46E7-9805-9E62C638267D}"/>
    <hyperlink ref="J34" r:id="rId16" xr:uid="{EBF2D411-FC76-4086-B136-152045095568}"/>
    <hyperlink ref="J35" r:id="rId17" xr:uid="{AC7C3ADB-ECB9-4B60-A0A4-3445233B0138}"/>
    <hyperlink ref="J36" r:id="rId18" xr:uid="{F7267C5A-5B73-4897-B17F-75BC37835549}"/>
    <hyperlink ref="J37" r:id="rId19" xr:uid="{D65134C2-E340-496A-A966-620488B131C7}"/>
    <hyperlink ref="J38" r:id="rId20" xr:uid="{C3D0C640-95BE-468D-AAC8-694F7B030150}"/>
    <hyperlink ref="J39" r:id="rId21" xr:uid="{4C448A29-9B30-40A5-9A66-C321767DB5BF}"/>
    <hyperlink ref="J40" r:id="rId22" xr:uid="{C88C3410-E394-4875-A34D-195C04F74803}"/>
    <hyperlink ref="J41" r:id="rId23" xr:uid="{B2F5CC8D-7A47-45B4-B02A-3DE9112BE661}"/>
    <hyperlink ref="J42" r:id="rId24" xr:uid="{76B2D620-69AB-4EA6-BCAA-75C3A8B1DC45}"/>
    <hyperlink ref="J43" r:id="rId25" xr:uid="{C75BDEF3-1A41-432F-BDAD-78FE5FEB06AA}"/>
    <hyperlink ref="J44" r:id="rId26" xr:uid="{BBE90C13-37D2-4E61-A5E3-5DBB58AE6278}"/>
    <hyperlink ref="J45" r:id="rId27" xr:uid="{AA1EEF11-91A0-4073-A3A8-A630B7C53E5C}"/>
    <hyperlink ref="J46" r:id="rId28" xr:uid="{75686259-999F-4CBC-A3DB-47AABA7C4314}"/>
    <hyperlink ref="J57" r:id="rId29" xr:uid="{FBEB9CD3-AEA5-41D9-93B4-F14A41992475}"/>
    <hyperlink ref="J58" r:id="rId30" xr:uid="{E8BDF4F1-DBEF-458F-8931-7FF82B7EC913}"/>
    <hyperlink ref="J59" r:id="rId31" xr:uid="{98A9B229-653E-4E1B-AED4-662E329F3ACC}"/>
    <hyperlink ref="J60" r:id="rId32" xr:uid="{68D83F62-D6BB-402E-AE48-AD330A798FFB}"/>
    <hyperlink ref="J61" r:id="rId33" xr:uid="{EF0F2B92-8510-4EFC-89E9-901A7BC9EB65}"/>
    <hyperlink ref="J62" r:id="rId34" xr:uid="{534384AA-4497-4F59-99FC-0D792C9F710C}"/>
    <hyperlink ref="J63" r:id="rId35" xr:uid="{B38BA8C3-C410-4284-8EC0-9B83A8C97A89}"/>
    <hyperlink ref="J64" r:id="rId36" xr:uid="{C6B4677C-310F-4FB8-A9BF-D6767EBA9E63}"/>
    <hyperlink ref="J65" r:id="rId37" xr:uid="{BCC1DE0A-A7F7-4666-B911-DE2DFAB2BB9A}"/>
    <hyperlink ref="M77" r:id="rId38" xr:uid="{E5750229-BBCF-4CAE-9580-F83971F164B5}"/>
    <hyperlink ref="M78" r:id="rId39" xr:uid="{1E303090-43C6-4F6B-8183-5DC16AD9A998}"/>
    <hyperlink ref="M79" r:id="rId40" xr:uid="{0E76F6F2-DF07-4363-BC01-0528F6386E85}"/>
    <hyperlink ref="M151" r:id="rId41" xr:uid="{9D5E7BEE-CB93-4B48-BF6C-9AD938B072B3}"/>
    <hyperlink ref="N151" r:id="rId42" xr:uid="{B3A60068-5CF0-415D-BD1D-B068192B5175}"/>
    <hyperlink ref="M154" r:id="rId43" xr:uid="{37F211E1-2A96-4898-A88C-A88B8EE3F515}"/>
    <hyperlink ref="M155" r:id="rId44" xr:uid="{776DC8EE-7ED7-4CB0-9B93-B9918EB9E56A}"/>
    <hyperlink ref="M156" r:id="rId45" xr:uid="{9BE14600-AEA8-48AE-8C06-45F3C4A2CF89}"/>
    <hyperlink ref="J77" r:id="rId46" xr:uid="{12895867-46F7-47FD-9FB0-2D9C82A55CB3}"/>
    <hyperlink ref="J78" r:id="rId47" xr:uid="{F24D66C5-F8A0-471A-A165-A679F30168C1}"/>
    <hyperlink ref="J79" r:id="rId48" xr:uid="{D72E4E71-1EF1-4625-AE97-B7570A5024A3}"/>
    <hyperlink ref="J80" r:id="rId49" xr:uid="{1E1BE174-4B3C-4B07-BC65-A16830CE44ED}"/>
    <hyperlink ref="J81" r:id="rId50" xr:uid="{BA7250D3-C019-4AE2-B6A1-CA03E5499DF3}"/>
    <hyperlink ref="J82" r:id="rId51" xr:uid="{D43FB753-3C65-4393-8C1D-C89DC7D243AC}"/>
    <hyperlink ref="J83" r:id="rId52" xr:uid="{9D5F92E9-D56C-4151-A41E-91FB4B6CB32D}"/>
    <hyperlink ref="J84" r:id="rId53" xr:uid="{2F639251-A552-4BC9-8903-4050A980EE2E}"/>
    <hyperlink ref="J85" r:id="rId54" xr:uid="{8960ED2E-09FC-46F8-8B5C-8DD09010E128}"/>
    <hyperlink ref="J86" r:id="rId55" xr:uid="{A5019EA4-E3ED-464D-B56F-354DEC9C9219}"/>
    <hyperlink ref="J87" r:id="rId56" xr:uid="{8ED15BAE-9DF5-4DAA-BEC6-189D8336DF5F}"/>
    <hyperlink ref="J88" r:id="rId57" xr:uid="{CBAFF061-B144-4951-9028-2E11AAFBB4BF}"/>
    <hyperlink ref="J89" r:id="rId58" xr:uid="{6978C9EF-5D1F-4C05-9EE0-373A87024429}"/>
    <hyperlink ref="J90" r:id="rId59" xr:uid="{33D56036-F1EE-4A0A-A682-91D3F495422D}"/>
    <hyperlink ref="J91" r:id="rId60" xr:uid="{B81E5546-BCA3-4C34-AE09-F53BB63F753A}"/>
    <hyperlink ref="J92" r:id="rId61" xr:uid="{88C4636A-A7FC-4DEC-9D8D-FF1E6B6AED19}"/>
    <hyperlink ref="J93" r:id="rId62" xr:uid="{3D1BE076-E036-4EF2-ACDD-7FB98A4B0F46}"/>
    <hyperlink ref="J56" r:id="rId63" xr:uid="{8CB91CB6-DF5E-4E34-909F-BCEF90D6B13D}"/>
    <hyperlink ref="J66" r:id="rId64" xr:uid="{3E38A935-01B9-402D-8901-53B98F09D3F2}"/>
    <hyperlink ref="J67" r:id="rId65" xr:uid="{2998A83C-6A8B-45ED-A150-0E763C038EB0}"/>
    <hyperlink ref="J68" r:id="rId66" xr:uid="{38C3F8E6-533D-4585-A4D3-CD6ABBD68635}"/>
    <hyperlink ref="J168" r:id="rId67" xr:uid="{AD0B4FC9-1B29-4CB2-913B-796F09FB73BE}"/>
    <hyperlink ref="J152" r:id="rId68" xr:uid="{EA6453DF-4E85-4C82-8573-3D19EE8D64E9}"/>
    <hyperlink ref="J153" r:id="rId69" xr:uid="{FB772A0A-62E7-4654-BDFE-7B61AE6AF560}"/>
    <hyperlink ref="J104" r:id="rId70" xr:uid="{E3FF7224-7949-45DB-9C04-A82699AE9911}"/>
    <hyperlink ref="J105" r:id="rId71" xr:uid="{C46C78D0-D7F1-4169-BADC-2D8F16288EAA}"/>
    <hyperlink ref="J106" r:id="rId72" xr:uid="{53D99A41-9D6E-46AC-A0DA-4937B7DB6D3A}"/>
    <hyperlink ref="J107" r:id="rId73" xr:uid="{9D6CB026-878C-435D-90B7-788A45F36585}"/>
    <hyperlink ref="J108" r:id="rId74" xr:uid="{EBA17AD1-D392-4209-A421-DEB5D5B47BF1}"/>
    <hyperlink ref="J109" r:id="rId75" xr:uid="{C5847560-AD08-45C3-84B8-77266DA3660A}"/>
    <hyperlink ref="J110" r:id="rId76" xr:uid="{9172780D-FC49-40B0-8891-76561C860E4A}"/>
    <hyperlink ref="J111" r:id="rId77" xr:uid="{13410E58-0714-4EE6-895F-AAD14D3F168D}"/>
    <hyperlink ref="J122" r:id="rId78" xr:uid="{ABA4AE4E-E232-4FCD-9F81-55BD96571F4F}"/>
    <hyperlink ref="J123" r:id="rId79" xr:uid="{68F83728-561F-4838-8CC6-6A4A00019C65}"/>
    <hyperlink ref="J124" r:id="rId80" xr:uid="{B58F77E7-43D0-4DD9-93A8-3A9A5542A258}"/>
    <hyperlink ref="J125" r:id="rId81" xr:uid="{22745B91-55AF-4E68-A693-2A15363446A2}"/>
    <hyperlink ref="J126" r:id="rId82" xr:uid="{B2DD5525-4412-436A-AA3E-030EF62E2BA8}"/>
    <hyperlink ref="J129" r:id="rId83" xr:uid="{FE411897-1DE2-4C79-B13F-955C0C106C6F}"/>
    <hyperlink ref="J130" r:id="rId84" xr:uid="{0DFE1EC2-EDC0-4456-A203-56EFE303A692}"/>
    <hyperlink ref="J131" r:id="rId85" xr:uid="{E7272165-28F9-400F-8CE7-AA3CA7AF418E}"/>
    <hyperlink ref="J132" r:id="rId86" xr:uid="{7F3390BB-28B8-490B-89F4-BEAB432B02AF}"/>
    <hyperlink ref="J134" r:id="rId87" xr:uid="{81158BBD-BA24-4C96-B7C6-747CEF7490FA}"/>
    <hyperlink ref="J135" r:id="rId88" xr:uid="{650DB980-27C5-485E-9F5B-E6974C699409}"/>
    <hyperlink ref="J136" r:id="rId89" xr:uid="{B42CD86B-77D5-4011-8F73-522AE7AF1220}"/>
    <hyperlink ref="J137" r:id="rId90" xr:uid="{631BB5AF-B977-4B8E-AA43-7A2437E6BEC7}"/>
    <hyperlink ref="J154" r:id="rId91" xr:uid="{7221BD66-F8FB-41DD-BA3B-3078EAD4A558}"/>
    <hyperlink ref="J155" r:id="rId92" xr:uid="{609DF8D2-5CA2-40B2-BC62-1155F9BC3CDC}"/>
    <hyperlink ref="J156" r:id="rId93" xr:uid="{CB55CA37-C2E6-4ACA-9F00-F0BAD63C8C70}"/>
    <hyperlink ref="J158" r:id="rId94" xr:uid="{E29CFE49-3941-4691-9F2D-54872C50D273}"/>
    <hyperlink ref="J162" r:id="rId95" xr:uid="{08A25DE3-AA3F-44AE-9C70-55B6D3BFD281}"/>
    <hyperlink ref="J163" r:id="rId96" xr:uid="{2DD03137-EBFE-4112-A23C-F4702EFF21A9}"/>
    <hyperlink ref="J164" r:id="rId97" xr:uid="{8B381123-6A9C-4F3C-AFC4-1A3F62694D06}"/>
    <hyperlink ref="J165" r:id="rId98" xr:uid="{79D5DBCA-E9D9-4072-A27C-EDD6C0DBC014}"/>
    <hyperlink ref="J167" r:id="rId99" xr:uid="{B5C7E74B-AA58-4A3B-9337-CE73FD83E9FD}"/>
    <hyperlink ref="J31" r:id="rId100" xr:uid="{CD6B762A-87E6-409E-B849-921C273A07B9}"/>
  </hyperlinks>
  <pageMargins left="0.7" right="0.7" top="0.75" bottom="0.75" header="0.3" footer="0.3"/>
  <pageSetup orientation="portrait" verticalDpi="0" r:id="rId10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F976F-E07E-4323-80CC-F3DAB00AC2D0}">
  <dimension ref="B2:O12"/>
  <sheetViews>
    <sheetView workbookViewId="0">
      <selection activeCell="B2" sqref="B2"/>
    </sheetView>
  </sheetViews>
  <sheetFormatPr defaultRowHeight="14.5" x14ac:dyDescent="0.35"/>
  <cols>
    <col min="1" max="1" width="8.7265625" style="33"/>
    <col min="2" max="2" width="5.6328125" style="33" customWidth="1"/>
    <col min="3" max="3" width="71.81640625" style="33" bestFit="1" customWidth="1"/>
    <col min="4" max="4" width="9.26953125" style="33" bestFit="1" customWidth="1"/>
    <col min="5" max="5" width="4.54296875" style="33" bestFit="1" customWidth="1"/>
    <col min="6" max="6" width="10.08984375" style="33" bestFit="1" customWidth="1"/>
    <col min="7" max="7" width="50.81640625" style="33" bestFit="1" customWidth="1"/>
    <col min="8" max="8" width="41.1796875" style="33" bestFit="1" customWidth="1"/>
    <col min="9" max="9" width="25.6328125" style="33" customWidth="1"/>
    <col min="10" max="10" width="50.6328125" style="33" customWidth="1"/>
    <col min="11" max="11" width="8.7265625" style="33"/>
    <col min="12" max="12" width="5.6328125" style="33" customWidth="1"/>
    <col min="13" max="14" width="18.90625" style="33" bestFit="1" customWidth="1"/>
    <col min="15" max="16384" width="8.7265625" style="33"/>
  </cols>
  <sheetData>
    <row r="2" spans="2:15" x14ac:dyDescent="0.35">
      <c r="B2" s="28" t="s">
        <v>554</v>
      </c>
      <c r="C2" s="2" t="s">
        <v>555</v>
      </c>
      <c r="D2" s="1"/>
      <c r="E2" s="1"/>
      <c r="F2" s="1"/>
      <c r="G2" s="1"/>
      <c r="H2" s="1"/>
      <c r="I2" s="1"/>
      <c r="J2" s="1"/>
    </row>
    <row r="3" spans="2:15" ht="15" thickBot="1" x14ac:dyDescent="0.4">
      <c r="B3" s="1"/>
      <c r="C3" s="1"/>
      <c r="D3" s="1"/>
      <c r="E3" s="1"/>
      <c r="F3" s="1"/>
      <c r="G3" s="1"/>
      <c r="H3" s="1"/>
      <c r="I3" s="1"/>
      <c r="J3" s="1"/>
    </row>
    <row r="4" spans="2:15" x14ac:dyDescent="0.35">
      <c r="B4" s="24" t="s">
        <v>6</v>
      </c>
      <c r="C4" s="25" t="s">
        <v>7</v>
      </c>
      <c r="D4" s="25" t="s">
        <v>8</v>
      </c>
      <c r="E4" s="26" t="s">
        <v>9</v>
      </c>
      <c r="F4" s="25" t="s">
        <v>10</v>
      </c>
      <c r="G4" s="25" t="s">
        <v>11</v>
      </c>
      <c r="H4" s="25" t="s">
        <v>12</v>
      </c>
      <c r="I4" s="25" t="s">
        <v>13</v>
      </c>
      <c r="J4" s="27" t="s">
        <v>14</v>
      </c>
      <c r="L4" s="24" t="s">
        <v>6</v>
      </c>
      <c r="M4" s="25" t="s">
        <v>290</v>
      </c>
      <c r="N4" s="27" t="s">
        <v>291</v>
      </c>
    </row>
    <row r="5" spans="2:15" x14ac:dyDescent="0.35">
      <c r="B5" s="14">
        <v>1</v>
      </c>
      <c r="C5" s="11" t="s">
        <v>556</v>
      </c>
      <c r="D5" s="15">
        <v>5.5</v>
      </c>
      <c r="E5" s="16">
        <v>20</v>
      </c>
      <c r="F5" s="15">
        <f>D5*E5</f>
        <v>110</v>
      </c>
      <c r="G5" s="11" t="s">
        <v>563</v>
      </c>
      <c r="H5" s="45" t="s">
        <v>248</v>
      </c>
      <c r="I5" s="11" t="s">
        <v>72</v>
      </c>
      <c r="J5" s="31" t="s">
        <v>569</v>
      </c>
      <c r="K5" s="39" t="s">
        <v>97</v>
      </c>
      <c r="L5" s="14">
        <v>1</v>
      </c>
      <c r="M5" s="35"/>
      <c r="N5" s="40" t="s">
        <v>97</v>
      </c>
      <c r="O5" s="39" t="s">
        <v>97</v>
      </c>
    </row>
    <row r="6" spans="2:15" x14ac:dyDescent="0.35">
      <c r="B6" s="17">
        <f>B5+1</f>
        <v>2</v>
      </c>
      <c r="C6" s="18" t="s">
        <v>557</v>
      </c>
      <c r="D6" s="19">
        <v>3.09</v>
      </c>
      <c r="E6" s="20">
        <v>2</v>
      </c>
      <c r="F6" s="19">
        <f>D6*E6</f>
        <v>6.18</v>
      </c>
      <c r="G6" s="18" t="s">
        <v>564</v>
      </c>
      <c r="H6" s="46" t="s">
        <v>248</v>
      </c>
      <c r="I6" s="18" t="s">
        <v>72</v>
      </c>
      <c r="J6" s="32" t="s">
        <v>570</v>
      </c>
      <c r="K6" s="39" t="s">
        <v>97</v>
      </c>
      <c r="L6" s="17">
        <v>2</v>
      </c>
      <c r="M6" s="36"/>
      <c r="N6" s="41" t="s">
        <v>97</v>
      </c>
      <c r="O6" s="39" t="s">
        <v>97</v>
      </c>
    </row>
    <row r="7" spans="2:15" x14ac:dyDescent="0.35">
      <c r="B7" s="14">
        <v>3</v>
      </c>
      <c r="C7" s="11" t="s">
        <v>558</v>
      </c>
      <c r="D7" s="15">
        <v>10</v>
      </c>
      <c r="E7" s="16">
        <v>1</v>
      </c>
      <c r="F7" s="15">
        <f t="shared" ref="F7:F11" si="0">D7*E7</f>
        <v>10</v>
      </c>
      <c r="G7" s="11" t="s">
        <v>300</v>
      </c>
      <c r="H7" s="45" t="s">
        <v>571</v>
      </c>
      <c r="I7" s="11" t="s">
        <v>72</v>
      </c>
      <c r="J7" s="31" t="s">
        <v>572</v>
      </c>
      <c r="K7" s="39" t="s">
        <v>97</v>
      </c>
      <c r="L7" s="14">
        <v>3</v>
      </c>
      <c r="M7" s="35"/>
      <c r="N7" s="40" t="s">
        <v>97</v>
      </c>
      <c r="O7" s="39" t="s">
        <v>97</v>
      </c>
    </row>
    <row r="8" spans="2:15" x14ac:dyDescent="0.35">
      <c r="B8" s="17">
        <v>4</v>
      </c>
      <c r="C8" s="18" t="s">
        <v>559</v>
      </c>
      <c r="D8" s="19">
        <v>15</v>
      </c>
      <c r="E8" s="20">
        <v>1</v>
      </c>
      <c r="F8" s="19">
        <f t="shared" si="0"/>
        <v>15</v>
      </c>
      <c r="G8" s="18" t="s">
        <v>565</v>
      </c>
      <c r="H8" s="46">
        <v>1834</v>
      </c>
      <c r="I8" s="18" t="s">
        <v>573</v>
      </c>
      <c r="J8" s="63" t="s">
        <v>574</v>
      </c>
      <c r="K8" s="39" t="s">
        <v>97</v>
      </c>
      <c r="L8" s="17">
        <v>4</v>
      </c>
      <c r="M8" s="44"/>
      <c r="N8" s="41" t="s">
        <v>97</v>
      </c>
      <c r="O8" s="39" t="s">
        <v>97</v>
      </c>
    </row>
    <row r="9" spans="2:15" x14ac:dyDescent="0.35">
      <c r="B9" s="14">
        <v>5</v>
      </c>
      <c r="C9" s="11" t="s">
        <v>560</v>
      </c>
      <c r="D9" s="15">
        <v>33</v>
      </c>
      <c r="E9" s="16">
        <v>1</v>
      </c>
      <c r="F9" s="15">
        <f t="shared" si="0"/>
        <v>33</v>
      </c>
      <c r="G9" s="11" t="s">
        <v>566</v>
      </c>
      <c r="H9" s="45">
        <v>1318</v>
      </c>
      <c r="I9" s="11" t="s">
        <v>575</v>
      </c>
      <c r="J9" s="62" t="s">
        <v>576</v>
      </c>
      <c r="K9" s="39" t="s">
        <v>97</v>
      </c>
      <c r="L9" s="14">
        <v>5</v>
      </c>
      <c r="M9" s="42" t="s">
        <v>577</v>
      </c>
      <c r="N9" s="40" t="s">
        <v>97</v>
      </c>
      <c r="O9" s="39" t="s">
        <v>97</v>
      </c>
    </row>
    <row r="10" spans="2:15" x14ac:dyDescent="0.35">
      <c r="B10" s="17">
        <v>6</v>
      </c>
      <c r="C10" s="18" t="s">
        <v>561</v>
      </c>
      <c r="D10" s="19">
        <v>7.9</v>
      </c>
      <c r="E10" s="20">
        <v>1</v>
      </c>
      <c r="F10" s="19">
        <f t="shared" si="0"/>
        <v>7.9</v>
      </c>
      <c r="G10" s="18" t="s">
        <v>567</v>
      </c>
      <c r="H10" s="46" t="s">
        <v>578</v>
      </c>
      <c r="I10" s="18" t="s">
        <v>580</v>
      </c>
      <c r="J10" s="63" t="s">
        <v>582</v>
      </c>
      <c r="K10" s="39" t="s">
        <v>97</v>
      </c>
      <c r="L10" s="17">
        <v>6</v>
      </c>
      <c r="M10" s="36"/>
      <c r="N10" s="41" t="s">
        <v>97</v>
      </c>
      <c r="O10" s="39" t="s">
        <v>97</v>
      </c>
    </row>
    <row r="11" spans="2:15" x14ac:dyDescent="0.35">
      <c r="B11" s="14">
        <v>7</v>
      </c>
      <c r="C11" s="11" t="s">
        <v>562</v>
      </c>
      <c r="D11" s="15">
        <v>1.66</v>
      </c>
      <c r="E11" s="16">
        <v>1</v>
      </c>
      <c r="F11" s="15">
        <f t="shared" si="0"/>
        <v>1.66</v>
      </c>
      <c r="G11" s="11" t="s">
        <v>568</v>
      </c>
      <c r="H11" s="45" t="s">
        <v>579</v>
      </c>
      <c r="I11" s="11" t="s">
        <v>581</v>
      </c>
      <c r="J11" s="62" t="s">
        <v>582</v>
      </c>
      <c r="K11" s="39" t="s">
        <v>97</v>
      </c>
      <c r="L11" s="14">
        <v>7</v>
      </c>
      <c r="M11" s="35"/>
      <c r="N11" s="40" t="s">
        <v>97</v>
      </c>
      <c r="O11" s="39" t="s">
        <v>97</v>
      </c>
    </row>
    <row r="12" spans="2:15" ht="15" thickBot="1" x14ac:dyDescent="0.4">
      <c r="B12" s="21"/>
      <c r="C12" s="22"/>
      <c r="D12" s="83" t="s">
        <v>96</v>
      </c>
      <c r="E12" s="83"/>
      <c r="F12" s="23">
        <f>SUM(F5:F11)</f>
        <v>183.74</v>
      </c>
      <c r="G12" s="22"/>
      <c r="H12" s="61"/>
      <c r="I12" s="22"/>
      <c r="J12" s="6"/>
      <c r="K12" s="39" t="s">
        <v>97</v>
      </c>
      <c r="L12" s="34"/>
      <c r="M12" s="37"/>
      <c r="N12" s="38"/>
      <c r="O12" s="39" t="s">
        <v>97</v>
      </c>
    </row>
  </sheetData>
  <mergeCells count="1">
    <mergeCell ref="D12:E12"/>
  </mergeCells>
  <hyperlinks>
    <hyperlink ref="M9" r:id="rId1" xr:uid="{658BC086-D447-450C-8CA7-CBCF55EEE67C}"/>
    <hyperlink ref="J8" r:id="rId2" xr:uid="{83EEC9D2-B986-4C69-92D1-7EB20A77EF64}"/>
    <hyperlink ref="J9" r:id="rId3" xr:uid="{55F569B6-3B74-4BDA-AC96-9D5922F513E7}"/>
    <hyperlink ref="J10" r:id="rId4" xr:uid="{A2BEC0C3-9062-4242-B8BD-30B043F0E70A}"/>
    <hyperlink ref="J11" r:id="rId5" xr:uid="{32D7AE00-B3DA-4637-B2A3-D503AB64D20D}"/>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F2C1C-65D1-415E-BF29-D1E82A95661C}">
  <sheetPr codeName="Sheet4"/>
  <dimension ref="B2:O42"/>
  <sheetViews>
    <sheetView workbookViewId="0">
      <selection activeCell="B2" sqref="B2"/>
    </sheetView>
  </sheetViews>
  <sheetFormatPr defaultRowHeight="14.5" x14ac:dyDescent="0.35"/>
  <cols>
    <col min="1" max="1" width="8.7265625" style="1"/>
    <col min="2" max="2" width="5.6328125" style="1" customWidth="1"/>
    <col min="3" max="3" width="71.81640625" style="1" bestFit="1" customWidth="1"/>
    <col min="4" max="4" width="9.26953125" style="1" bestFit="1" customWidth="1"/>
    <col min="5" max="5" width="4.54296875" style="1" bestFit="1" customWidth="1"/>
    <col min="6" max="6" width="10.08984375" style="1" bestFit="1" customWidth="1"/>
    <col min="7" max="7" width="50.81640625" style="1" bestFit="1" customWidth="1"/>
    <col min="8" max="8" width="41.1796875" style="1" bestFit="1" customWidth="1"/>
    <col min="9" max="9" width="25.6328125" style="1" customWidth="1"/>
    <col min="10" max="10" width="50.6328125" style="1" customWidth="1"/>
    <col min="11" max="11" width="8.7265625" style="1"/>
    <col min="12" max="12" width="5.6328125" style="1" customWidth="1"/>
    <col min="13" max="14" width="18.90625" style="1" bestFit="1" customWidth="1"/>
    <col min="15" max="16384" width="8.7265625" style="1"/>
  </cols>
  <sheetData>
    <row r="2" spans="2:15" x14ac:dyDescent="0.35">
      <c r="B2" s="28" t="s">
        <v>583</v>
      </c>
      <c r="C2" s="2" t="s">
        <v>584</v>
      </c>
      <c r="K2" s="33"/>
      <c r="L2" s="33"/>
      <c r="M2" s="33"/>
      <c r="N2" s="33"/>
      <c r="O2" s="33"/>
    </row>
    <row r="3" spans="2:15" ht="15" thickBot="1" x14ac:dyDescent="0.4">
      <c r="K3" s="33"/>
      <c r="L3" s="33"/>
      <c r="M3" s="33"/>
      <c r="N3" s="33"/>
      <c r="O3" s="33"/>
    </row>
    <row r="4" spans="2:15" x14ac:dyDescent="0.35">
      <c r="B4" s="24" t="s">
        <v>6</v>
      </c>
      <c r="C4" s="25" t="s">
        <v>7</v>
      </c>
      <c r="D4" s="25" t="s">
        <v>8</v>
      </c>
      <c r="E4" s="26" t="s">
        <v>9</v>
      </c>
      <c r="F4" s="25" t="s">
        <v>10</v>
      </c>
      <c r="G4" s="25" t="s">
        <v>11</v>
      </c>
      <c r="H4" s="25" t="s">
        <v>12</v>
      </c>
      <c r="I4" s="25" t="s">
        <v>13</v>
      </c>
      <c r="J4" s="27" t="s">
        <v>14</v>
      </c>
      <c r="K4" s="33"/>
      <c r="L4" s="24" t="s">
        <v>6</v>
      </c>
      <c r="M4" s="25" t="s">
        <v>290</v>
      </c>
      <c r="N4" s="27" t="s">
        <v>291</v>
      </c>
      <c r="O4" s="33"/>
    </row>
    <row r="5" spans="2:15" x14ac:dyDescent="0.35">
      <c r="B5" s="49">
        <v>1</v>
      </c>
      <c r="C5" s="50" t="s">
        <v>585</v>
      </c>
      <c r="D5" s="51">
        <v>59.99</v>
      </c>
      <c r="E5" s="52">
        <v>1</v>
      </c>
      <c r="F5" s="51">
        <f>D5*E5</f>
        <v>59.99</v>
      </c>
      <c r="G5" s="50" t="s">
        <v>610</v>
      </c>
      <c r="H5" s="47" t="s">
        <v>642</v>
      </c>
      <c r="I5" s="50" t="s">
        <v>643</v>
      </c>
      <c r="J5" s="70" t="s">
        <v>476</v>
      </c>
      <c r="K5" s="39" t="s">
        <v>97</v>
      </c>
      <c r="L5" s="14">
        <v>1</v>
      </c>
      <c r="M5" s="35"/>
      <c r="N5" s="40" t="s">
        <v>97</v>
      </c>
      <c r="O5" s="39" t="s">
        <v>97</v>
      </c>
    </row>
    <row r="6" spans="2:15" x14ac:dyDescent="0.35">
      <c r="B6" s="53">
        <f>B5+1</f>
        <v>2</v>
      </c>
      <c r="C6" s="54" t="s">
        <v>586</v>
      </c>
      <c r="D6" s="55">
        <v>8.49</v>
      </c>
      <c r="E6" s="56">
        <v>1</v>
      </c>
      <c r="F6" s="55">
        <f>D6*E6</f>
        <v>8.49</v>
      </c>
      <c r="G6" s="54" t="s">
        <v>611</v>
      </c>
      <c r="H6" s="48" t="s">
        <v>644</v>
      </c>
      <c r="I6" s="54" t="s">
        <v>645</v>
      </c>
      <c r="J6" s="71" t="s">
        <v>476</v>
      </c>
      <c r="K6" s="39" t="s">
        <v>97</v>
      </c>
      <c r="L6" s="17">
        <v>2</v>
      </c>
      <c r="M6" s="36"/>
      <c r="N6" s="41" t="s">
        <v>97</v>
      </c>
      <c r="O6" s="39" t="s">
        <v>97</v>
      </c>
    </row>
    <row r="7" spans="2:15" x14ac:dyDescent="0.35">
      <c r="B7" s="49">
        <v>3</v>
      </c>
      <c r="C7" s="50" t="s">
        <v>587</v>
      </c>
      <c r="D7" s="51">
        <v>49.99</v>
      </c>
      <c r="E7" s="52">
        <v>1</v>
      </c>
      <c r="F7" s="51">
        <f t="shared" ref="F7:F41" si="0">D7*E7</f>
        <v>49.99</v>
      </c>
      <c r="G7" s="50" t="s">
        <v>612</v>
      </c>
      <c r="H7" s="47">
        <v>62586</v>
      </c>
      <c r="I7" s="50" t="s">
        <v>646</v>
      </c>
      <c r="J7" s="70" t="s">
        <v>647</v>
      </c>
      <c r="K7" s="39" t="s">
        <v>97</v>
      </c>
      <c r="L7" s="14">
        <v>3</v>
      </c>
      <c r="M7" s="35"/>
      <c r="N7" s="40" t="s">
        <v>97</v>
      </c>
      <c r="O7" s="39" t="s">
        <v>97</v>
      </c>
    </row>
    <row r="8" spans="2:15" x14ac:dyDescent="0.35">
      <c r="B8" s="53">
        <v>4</v>
      </c>
      <c r="C8" s="54" t="s">
        <v>536</v>
      </c>
      <c r="D8" s="55">
        <v>0</v>
      </c>
      <c r="E8" s="56">
        <v>1</v>
      </c>
      <c r="F8" s="55">
        <f t="shared" si="0"/>
        <v>0</v>
      </c>
      <c r="G8" s="54" t="s">
        <v>613</v>
      </c>
      <c r="H8" s="48" t="s">
        <v>512</v>
      </c>
      <c r="I8" s="54" t="s">
        <v>648</v>
      </c>
      <c r="J8" s="71" t="s">
        <v>476</v>
      </c>
      <c r="K8" s="39" t="s">
        <v>97</v>
      </c>
      <c r="L8" s="17">
        <v>4</v>
      </c>
      <c r="M8" s="36"/>
      <c r="N8" s="41" t="s">
        <v>97</v>
      </c>
      <c r="O8" s="39" t="s">
        <v>97</v>
      </c>
    </row>
    <row r="9" spans="2:15" x14ac:dyDescent="0.35">
      <c r="B9" s="49">
        <v>5</v>
      </c>
      <c r="C9" s="50" t="s">
        <v>588</v>
      </c>
      <c r="D9" s="51">
        <v>11.99</v>
      </c>
      <c r="E9" s="52">
        <v>1</v>
      </c>
      <c r="F9" s="51">
        <f t="shared" si="0"/>
        <v>11.99</v>
      </c>
      <c r="G9" s="50" t="s">
        <v>614</v>
      </c>
      <c r="H9" s="47" t="s">
        <v>649</v>
      </c>
      <c r="I9" s="50" t="s">
        <v>650</v>
      </c>
      <c r="J9" s="70" t="s">
        <v>476</v>
      </c>
      <c r="K9" s="39" t="s">
        <v>97</v>
      </c>
      <c r="L9" s="14">
        <v>5</v>
      </c>
      <c r="M9" s="35"/>
      <c r="N9" s="40" t="s">
        <v>97</v>
      </c>
      <c r="O9" s="39" t="s">
        <v>97</v>
      </c>
    </row>
    <row r="10" spans="2:15" x14ac:dyDescent="0.35">
      <c r="B10" s="53">
        <v>6</v>
      </c>
      <c r="C10" s="54" t="s">
        <v>589</v>
      </c>
      <c r="D10" s="55">
        <v>12.99</v>
      </c>
      <c r="E10" s="56">
        <v>1</v>
      </c>
      <c r="F10" s="55">
        <f t="shared" si="0"/>
        <v>12.99</v>
      </c>
      <c r="G10" s="54" t="s">
        <v>615</v>
      </c>
      <c r="H10" s="48" t="s">
        <v>651</v>
      </c>
      <c r="I10" s="54" t="s">
        <v>652</v>
      </c>
      <c r="J10" s="71" t="s">
        <v>476</v>
      </c>
      <c r="K10" s="39" t="s">
        <v>97</v>
      </c>
      <c r="L10" s="17">
        <v>6</v>
      </c>
      <c r="M10" s="36"/>
      <c r="N10" s="41" t="s">
        <v>97</v>
      </c>
      <c r="O10" s="39" t="s">
        <v>97</v>
      </c>
    </row>
    <row r="11" spans="2:15" x14ac:dyDescent="0.35">
      <c r="B11" s="49">
        <v>7</v>
      </c>
      <c r="C11" s="50" t="s">
        <v>590</v>
      </c>
      <c r="D11" s="51">
        <v>5.99</v>
      </c>
      <c r="E11" s="52">
        <v>1</v>
      </c>
      <c r="F11" s="51">
        <f t="shared" si="0"/>
        <v>5.99</v>
      </c>
      <c r="G11" s="50" t="s">
        <v>616</v>
      </c>
      <c r="H11" s="47" t="s">
        <v>653</v>
      </c>
      <c r="I11" s="50" t="s">
        <v>654</v>
      </c>
      <c r="J11" s="70" t="s">
        <v>476</v>
      </c>
      <c r="K11" s="39" t="s">
        <v>97</v>
      </c>
      <c r="L11" s="14">
        <v>7</v>
      </c>
      <c r="M11" s="35"/>
      <c r="N11" s="40" t="s">
        <v>97</v>
      </c>
      <c r="O11" s="39" t="s">
        <v>97</v>
      </c>
    </row>
    <row r="12" spans="2:15" x14ac:dyDescent="0.35">
      <c r="B12" s="53">
        <v>8</v>
      </c>
      <c r="C12" s="54" t="s">
        <v>591</v>
      </c>
      <c r="D12" s="55">
        <v>3.36</v>
      </c>
      <c r="E12" s="56">
        <v>1</v>
      </c>
      <c r="F12" s="55">
        <f t="shared" si="0"/>
        <v>3.36</v>
      </c>
      <c r="G12" s="54" t="s">
        <v>617</v>
      </c>
      <c r="H12" s="48" t="s">
        <v>655</v>
      </c>
      <c r="I12" s="54" t="s">
        <v>656</v>
      </c>
      <c r="J12" s="71" t="s">
        <v>657</v>
      </c>
      <c r="K12" s="39" t="s">
        <v>97</v>
      </c>
      <c r="L12" s="17">
        <v>8</v>
      </c>
      <c r="M12" s="36"/>
      <c r="N12" s="41" t="s">
        <v>97</v>
      </c>
      <c r="O12" s="39" t="s">
        <v>97</v>
      </c>
    </row>
    <row r="13" spans="2:15" x14ac:dyDescent="0.35">
      <c r="B13" s="49">
        <v>9</v>
      </c>
      <c r="C13" s="50" t="s">
        <v>592</v>
      </c>
      <c r="D13" s="51">
        <v>0.73</v>
      </c>
      <c r="E13" s="52">
        <v>1</v>
      </c>
      <c r="F13" s="51">
        <f t="shared" si="0"/>
        <v>0.73</v>
      </c>
      <c r="G13" s="50" t="s">
        <v>618</v>
      </c>
      <c r="H13" s="47" t="s">
        <v>658</v>
      </c>
      <c r="I13" s="50" t="s">
        <v>659</v>
      </c>
      <c r="J13" s="70" t="s">
        <v>660</v>
      </c>
      <c r="K13" s="39" t="s">
        <v>97</v>
      </c>
      <c r="L13" s="14">
        <v>9</v>
      </c>
      <c r="M13" s="35"/>
      <c r="N13" s="40" t="s">
        <v>97</v>
      </c>
      <c r="O13" s="39" t="s">
        <v>97</v>
      </c>
    </row>
    <row r="14" spans="2:15" x14ac:dyDescent="0.35">
      <c r="B14" s="53">
        <v>10</v>
      </c>
      <c r="C14" s="54" t="s">
        <v>201</v>
      </c>
      <c r="D14" s="55">
        <v>0</v>
      </c>
      <c r="E14" s="56">
        <v>1</v>
      </c>
      <c r="F14" s="55">
        <f t="shared" si="0"/>
        <v>0</v>
      </c>
      <c r="G14" s="54" t="s">
        <v>619</v>
      </c>
      <c r="H14" s="48" t="s">
        <v>661</v>
      </c>
      <c r="I14" s="54" t="s">
        <v>662</v>
      </c>
      <c r="J14" s="71" t="s">
        <v>476</v>
      </c>
      <c r="K14" s="39" t="s">
        <v>97</v>
      </c>
      <c r="L14" s="17">
        <v>10</v>
      </c>
      <c r="M14" s="36"/>
      <c r="N14" s="41" t="s">
        <v>97</v>
      </c>
      <c r="O14" s="39" t="s">
        <v>97</v>
      </c>
    </row>
    <row r="15" spans="2:15" x14ac:dyDescent="0.35">
      <c r="B15" s="49">
        <v>11</v>
      </c>
      <c r="C15" s="50" t="s">
        <v>593</v>
      </c>
      <c r="D15" s="51">
        <v>29.99</v>
      </c>
      <c r="E15" s="52">
        <v>1</v>
      </c>
      <c r="F15" s="51">
        <f t="shared" si="0"/>
        <v>29.99</v>
      </c>
      <c r="G15" s="50" t="s">
        <v>620</v>
      </c>
      <c r="H15" s="47">
        <v>91111</v>
      </c>
      <c r="I15" s="50" t="s">
        <v>663</v>
      </c>
      <c r="J15" s="70" t="s">
        <v>664</v>
      </c>
      <c r="K15" s="39" t="s">
        <v>97</v>
      </c>
      <c r="L15" s="14">
        <v>11</v>
      </c>
      <c r="M15" s="35"/>
      <c r="N15" s="40" t="s">
        <v>97</v>
      </c>
      <c r="O15" s="39" t="s">
        <v>97</v>
      </c>
    </row>
    <row r="16" spans="2:15" x14ac:dyDescent="0.35">
      <c r="B16" s="53">
        <v>12</v>
      </c>
      <c r="C16" s="54" t="s">
        <v>594</v>
      </c>
      <c r="D16" s="55">
        <v>2.87</v>
      </c>
      <c r="E16" s="56">
        <v>2</v>
      </c>
      <c r="F16" s="55">
        <f t="shared" si="0"/>
        <v>5.74</v>
      </c>
      <c r="G16" s="54" t="s">
        <v>621</v>
      </c>
      <c r="H16" s="48" t="s">
        <v>665</v>
      </c>
      <c r="I16" s="54" t="s">
        <v>666</v>
      </c>
      <c r="J16" s="71" t="s">
        <v>667</v>
      </c>
      <c r="K16" s="39" t="s">
        <v>97</v>
      </c>
      <c r="L16" s="17">
        <v>12</v>
      </c>
      <c r="M16" s="36"/>
      <c r="N16" s="41" t="s">
        <v>97</v>
      </c>
      <c r="O16" s="39" t="s">
        <v>97</v>
      </c>
    </row>
    <row r="17" spans="2:15" x14ac:dyDescent="0.35">
      <c r="B17" s="49">
        <v>13</v>
      </c>
      <c r="C17" s="50" t="s">
        <v>595</v>
      </c>
      <c r="D17" s="51">
        <v>17.89</v>
      </c>
      <c r="E17" s="52">
        <v>1</v>
      </c>
      <c r="F17" s="51">
        <f t="shared" si="0"/>
        <v>17.89</v>
      </c>
      <c r="G17" s="50" t="s">
        <v>622</v>
      </c>
      <c r="H17" s="47" t="s">
        <v>239</v>
      </c>
      <c r="I17" s="50" t="s">
        <v>675</v>
      </c>
      <c r="J17" s="70" t="s">
        <v>476</v>
      </c>
      <c r="K17" s="39" t="s">
        <v>97</v>
      </c>
      <c r="L17" s="14">
        <v>13</v>
      </c>
      <c r="M17" s="35"/>
      <c r="N17" s="40" t="s">
        <v>97</v>
      </c>
      <c r="O17" s="39" t="s">
        <v>97</v>
      </c>
    </row>
    <row r="18" spans="2:15" x14ac:dyDescent="0.35">
      <c r="B18" s="53">
        <v>14</v>
      </c>
      <c r="C18" s="54" t="s">
        <v>192</v>
      </c>
      <c r="D18" s="55">
        <v>17.260000000000002</v>
      </c>
      <c r="E18" s="56">
        <v>1</v>
      </c>
      <c r="F18" s="55">
        <f t="shared" si="0"/>
        <v>17.260000000000002</v>
      </c>
      <c r="G18" s="54" t="s">
        <v>623</v>
      </c>
      <c r="H18" s="48" t="s">
        <v>207</v>
      </c>
      <c r="I18" s="54" t="s">
        <v>668</v>
      </c>
      <c r="J18" s="71" t="s">
        <v>209</v>
      </c>
      <c r="K18" s="39" t="s">
        <v>97</v>
      </c>
      <c r="L18" s="17">
        <v>14</v>
      </c>
      <c r="M18" s="36"/>
      <c r="N18" s="41" t="s">
        <v>97</v>
      </c>
      <c r="O18" s="39" t="s">
        <v>97</v>
      </c>
    </row>
    <row r="19" spans="2:15" x14ac:dyDescent="0.35">
      <c r="B19" s="49">
        <v>15</v>
      </c>
      <c r="C19" s="50" t="s">
        <v>596</v>
      </c>
      <c r="D19" s="51">
        <v>197</v>
      </c>
      <c r="E19" s="52">
        <v>1</v>
      </c>
      <c r="F19" s="51">
        <f t="shared" si="0"/>
        <v>197</v>
      </c>
      <c r="G19" s="50" t="s">
        <v>624</v>
      </c>
      <c r="H19" s="47" t="s">
        <v>669</v>
      </c>
      <c r="I19" s="50" t="s">
        <v>670</v>
      </c>
      <c r="J19" s="70" t="s">
        <v>671</v>
      </c>
      <c r="K19" s="39" t="s">
        <v>97</v>
      </c>
      <c r="L19" s="14">
        <v>15</v>
      </c>
      <c r="M19" s="35"/>
      <c r="N19" s="40" t="s">
        <v>97</v>
      </c>
      <c r="O19" s="39" t="s">
        <v>97</v>
      </c>
    </row>
    <row r="20" spans="2:15" x14ac:dyDescent="0.35">
      <c r="B20" s="53">
        <v>16</v>
      </c>
      <c r="C20" s="54" t="s">
        <v>597</v>
      </c>
      <c r="D20" s="55">
        <v>8.49</v>
      </c>
      <c r="E20" s="56">
        <v>1</v>
      </c>
      <c r="F20" s="55">
        <f t="shared" si="0"/>
        <v>8.49</v>
      </c>
      <c r="G20" s="54" t="s">
        <v>625</v>
      </c>
      <c r="H20" s="48" t="s">
        <v>672</v>
      </c>
      <c r="I20" s="54" t="s">
        <v>673</v>
      </c>
      <c r="J20" s="71" t="s">
        <v>674</v>
      </c>
      <c r="K20" s="39" t="s">
        <v>97</v>
      </c>
      <c r="L20" s="17">
        <v>16</v>
      </c>
      <c r="M20" s="36"/>
      <c r="N20" s="41" t="s">
        <v>97</v>
      </c>
      <c r="O20" s="39" t="s">
        <v>97</v>
      </c>
    </row>
    <row r="21" spans="2:15" x14ac:dyDescent="0.35">
      <c r="B21" s="49">
        <v>17</v>
      </c>
      <c r="C21" s="50" t="s">
        <v>598</v>
      </c>
      <c r="D21" s="51">
        <v>5.9</v>
      </c>
      <c r="E21" s="52">
        <v>1</v>
      </c>
      <c r="F21" s="51">
        <f t="shared" si="0"/>
        <v>5.9</v>
      </c>
      <c r="G21" s="50" t="s">
        <v>625</v>
      </c>
      <c r="H21" s="47" t="s">
        <v>676</v>
      </c>
      <c r="I21" s="50" t="s">
        <v>598</v>
      </c>
      <c r="J21" s="70" t="s">
        <v>677</v>
      </c>
      <c r="K21" s="39" t="s">
        <v>97</v>
      </c>
      <c r="L21" s="14">
        <v>17</v>
      </c>
      <c r="M21" s="35"/>
      <c r="N21" s="40" t="s">
        <v>97</v>
      </c>
      <c r="O21" s="39" t="s">
        <v>97</v>
      </c>
    </row>
    <row r="22" spans="2:15" x14ac:dyDescent="0.35">
      <c r="B22" s="53">
        <v>18</v>
      </c>
      <c r="C22" s="54" t="s">
        <v>599</v>
      </c>
      <c r="D22" s="55">
        <v>16.14</v>
      </c>
      <c r="E22" s="56">
        <v>1</v>
      </c>
      <c r="F22" s="55">
        <f t="shared" si="0"/>
        <v>16.14</v>
      </c>
      <c r="G22" s="54" t="s">
        <v>626</v>
      </c>
      <c r="H22" s="48" t="s">
        <v>678</v>
      </c>
      <c r="I22" s="54" t="s">
        <v>679</v>
      </c>
      <c r="J22" s="71" t="s">
        <v>680</v>
      </c>
      <c r="K22" s="39" t="s">
        <v>97</v>
      </c>
      <c r="L22" s="17">
        <v>18</v>
      </c>
      <c r="M22" s="36"/>
      <c r="N22" s="41" t="s">
        <v>97</v>
      </c>
      <c r="O22" s="39" t="s">
        <v>97</v>
      </c>
    </row>
    <row r="23" spans="2:15" x14ac:dyDescent="0.35">
      <c r="B23" s="49">
        <v>19</v>
      </c>
      <c r="C23" s="50" t="s">
        <v>600</v>
      </c>
      <c r="D23" s="51">
        <v>3.71</v>
      </c>
      <c r="E23" s="52">
        <v>2</v>
      </c>
      <c r="F23" s="51">
        <f t="shared" si="0"/>
        <v>7.42</v>
      </c>
      <c r="G23" s="50" t="s">
        <v>627</v>
      </c>
      <c r="H23" s="47" t="s">
        <v>681</v>
      </c>
      <c r="I23" s="50" t="s">
        <v>682</v>
      </c>
      <c r="J23" s="70" t="s">
        <v>683</v>
      </c>
      <c r="K23" s="39" t="s">
        <v>97</v>
      </c>
      <c r="L23" s="14">
        <v>19</v>
      </c>
      <c r="M23" s="35"/>
      <c r="N23" s="40" t="s">
        <v>97</v>
      </c>
      <c r="O23" s="39" t="s">
        <v>97</v>
      </c>
    </row>
    <row r="24" spans="2:15" x14ac:dyDescent="0.35">
      <c r="B24" s="53">
        <v>20</v>
      </c>
      <c r="C24" s="54" t="s">
        <v>601</v>
      </c>
      <c r="D24" s="55">
        <v>1.78</v>
      </c>
      <c r="E24" s="56">
        <v>1</v>
      </c>
      <c r="F24" s="55">
        <f t="shared" si="0"/>
        <v>1.78</v>
      </c>
      <c r="G24" s="54" t="s">
        <v>628</v>
      </c>
      <c r="H24" s="48" t="s">
        <v>684</v>
      </c>
      <c r="I24" s="54" t="s">
        <v>685</v>
      </c>
      <c r="J24" s="71" t="s">
        <v>686</v>
      </c>
      <c r="K24" s="39" t="s">
        <v>97</v>
      </c>
      <c r="L24" s="17">
        <v>20</v>
      </c>
      <c r="M24" s="36"/>
      <c r="N24" s="41" t="s">
        <v>97</v>
      </c>
      <c r="O24" s="39" t="s">
        <v>97</v>
      </c>
    </row>
    <row r="25" spans="2:15" x14ac:dyDescent="0.35">
      <c r="B25" s="49">
        <v>21</v>
      </c>
      <c r="C25" s="50" t="s">
        <v>602</v>
      </c>
      <c r="D25" s="51">
        <v>9.6300000000000008</v>
      </c>
      <c r="E25" s="52">
        <v>1</v>
      </c>
      <c r="F25" s="51">
        <f t="shared" si="0"/>
        <v>9.6300000000000008</v>
      </c>
      <c r="G25" s="50" t="s">
        <v>629</v>
      </c>
      <c r="H25" s="47" t="s">
        <v>687</v>
      </c>
      <c r="I25" s="50" t="s">
        <v>688</v>
      </c>
      <c r="J25" s="70" t="s">
        <v>689</v>
      </c>
      <c r="K25" s="39" t="s">
        <v>97</v>
      </c>
      <c r="L25" s="14">
        <v>21</v>
      </c>
      <c r="M25" s="35"/>
      <c r="N25" s="40" t="s">
        <v>97</v>
      </c>
      <c r="O25" s="39" t="s">
        <v>97</v>
      </c>
    </row>
    <row r="26" spans="2:15" x14ac:dyDescent="0.35">
      <c r="B26" s="53">
        <v>22</v>
      </c>
      <c r="C26" s="54" t="s">
        <v>603</v>
      </c>
      <c r="D26" s="55">
        <v>1.79</v>
      </c>
      <c r="E26" s="56">
        <v>1</v>
      </c>
      <c r="F26" s="55">
        <f t="shared" si="0"/>
        <v>1.79</v>
      </c>
      <c r="G26" s="54" t="s">
        <v>630</v>
      </c>
      <c r="H26" s="48" t="s">
        <v>690</v>
      </c>
      <c r="I26" s="54" t="s">
        <v>691</v>
      </c>
      <c r="J26" s="71" t="s">
        <v>692</v>
      </c>
      <c r="K26" s="39" t="s">
        <v>97</v>
      </c>
      <c r="L26" s="17">
        <v>22</v>
      </c>
      <c r="M26" s="36"/>
      <c r="N26" s="41" t="s">
        <v>97</v>
      </c>
      <c r="O26" s="39" t="s">
        <v>97</v>
      </c>
    </row>
    <row r="27" spans="2:15" x14ac:dyDescent="0.35">
      <c r="B27" s="49">
        <v>23</v>
      </c>
      <c r="C27" s="50" t="s">
        <v>604</v>
      </c>
      <c r="D27" s="51">
        <v>5.71</v>
      </c>
      <c r="E27" s="52">
        <v>1</v>
      </c>
      <c r="F27" s="51">
        <f t="shared" si="0"/>
        <v>5.71</v>
      </c>
      <c r="G27" s="50" t="s">
        <v>631</v>
      </c>
      <c r="H27" s="47" t="s">
        <v>693</v>
      </c>
      <c r="I27" s="50" t="s">
        <v>694</v>
      </c>
      <c r="J27" s="70" t="s">
        <v>695</v>
      </c>
      <c r="K27" s="39" t="s">
        <v>97</v>
      </c>
      <c r="L27" s="14">
        <v>23</v>
      </c>
      <c r="M27" s="35"/>
      <c r="N27" s="40" t="s">
        <v>97</v>
      </c>
      <c r="O27" s="39" t="s">
        <v>97</v>
      </c>
    </row>
    <row r="28" spans="2:15" x14ac:dyDescent="0.35">
      <c r="B28" s="53">
        <v>24</v>
      </c>
      <c r="C28" s="54" t="s">
        <v>605</v>
      </c>
      <c r="D28" s="55">
        <v>2.67</v>
      </c>
      <c r="E28" s="56">
        <v>1</v>
      </c>
      <c r="F28" s="55">
        <f t="shared" si="0"/>
        <v>2.67</v>
      </c>
      <c r="G28" s="54" t="s">
        <v>632</v>
      </c>
      <c r="H28" s="48" t="s">
        <v>696</v>
      </c>
      <c r="I28" s="54" t="s">
        <v>697</v>
      </c>
      <c r="J28" s="71" t="s">
        <v>698</v>
      </c>
      <c r="K28" s="39" t="s">
        <v>97</v>
      </c>
      <c r="L28" s="17">
        <v>24</v>
      </c>
      <c r="M28" s="36"/>
      <c r="N28" s="41" t="s">
        <v>97</v>
      </c>
      <c r="O28" s="39" t="s">
        <v>97</v>
      </c>
    </row>
    <row r="29" spans="2:15" x14ac:dyDescent="0.35">
      <c r="B29" s="49">
        <v>25</v>
      </c>
      <c r="C29" s="50" t="s">
        <v>606</v>
      </c>
      <c r="D29" s="51">
        <v>3.84</v>
      </c>
      <c r="E29" s="52">
        <v>1</v>
      </c>
      <c r="F29" s="51">
        <f t="shared" si="0"/>
        <v>3.84</v>
      </c>
      <c r="G29" s="50" t="s">
        <v>633</v>
      </c>
      <c r="H29" s="47" t="s">
        <v>699</v>
      </c>
      <c r="I29" s="50" t="s">
        <v>700</v>
      </c>
      <c r="J29" s="70" t="s">
        <v>701</v>
      </c>
      <c r="K29" s="39" t="s">
        <v>97</v>
      </c>
      <c r="L29" s="14">
        <v>25</v>
      </c>
      <c r="M29" s="35"/>
      <c r="N29" s="40" t="s">
        <v>97</v>
      </c>
      <c r="O29" s="39" t="s">
        <v>97</v>
      </c>
    </row>
    <row r="30" spans="2:15" x14ac:dyDescent="0.35">
      <c r="B30" s="53">
        <v>26</v>
      </c>
      <c r="C30" s="54" t="s">
        <v>607</v>
      </c>
      <c r="D30" s="55">
        <v>3.95</v>
      </c>
      <c r="E30" s="56">
        <v>2</v>
      </c>
      <c r="F30" s="55">
        <f t="shared" si="0"/>
        <v>7.9</v>
      </c>
      <c r="G30" s="54" t="s">
        <v>634</v>
      </c>
      <c r="H30" s="48" t="s">
        <v>160</v>
      </c>
      <c r="I30" s="54" t="s">
        <v>702</v>
      </c>
      <c r="J30" s="71" t="s">
        <v>161</v>
      </c>
      <c r="K30" s="39" t="s">
        <v>97</v>
      </c>
      <c r="L30" s="17">
        <v>26</v>
      </c>
      <c r="M30" s="36"/>
      <c r="N30" s="41" t="s">
        <v>97</v>
      </c>
      <c r="O30" s="39" t="s">
        <v>97</v>
      </c>
    </row>
    <row r="31" spans="2:15" x14ac:dyDescent="0.35">
      <c r="B31" s="49">
        <v>27</v>
      </c>
      <c r="C31" s="50" t="s">
        <v>608</v>
      </c>
      <c r="D31" s="51">
        <v>6.97</v>
      </c>
      <c r="E31" s="52">
        <v>1</v>
      </c>
      <c r="F31" s="51">
        <f t="shared" si="0"/>
        <v>6.97</v>
      </c>
      <c r="G31" s="50" t="s">
        <v>635</v>
      </c>
      <c r="H31" s="47" t="s">
        <v>703</v>
      </c>
      <c r="I31" s="50" t="s">
        <v>704</v>
      </c>
      <c r="J31" s="70" t="s">
        <v>705</v>
      </c>
      <c r="K31" s="39" t="s">
        <v>97</v>
      </c>
      <c r="L31" s="14">
        <v>27</v>
      </c>
      <c r="M31" s="35"/>
      <c r="N31" s="40" t="s">
        <v>97</v>
      </c>
      <c r="O31" s="39" t="s">
        <v>97</v>
      </c>
    </row>
    <row r="32" spans="2:15" x14ac:dyDescent="0.35">
      <c r="B32" s="53">
        <v>28</v>
      </c>
      <c r="C32" s="54" t="s">
        <v>609</v>
      </c>
      <c r="D32" s="55">
        <v>15.85</v>
      </c>
      <c r="E32" s="56">
        <v>1</v>
      </c>
      <c r="F32" s="55">
        <f t="shared" si="0"/>
        <v>15.85</v>
      </c>
      <c r="G32" s="54" t="s">
        <v>636</v>
      </c>
      <c r="H32" s="48" t="s">
        <v>706</v>
      </c>
      <c r="I32" s="54" t="s">
        <v>707</v>
      </c>
      <c r="J32" s="71" t="s">
        <v>708</v>
      </c>
      <c r="K32" s="39" t="s">
        <v>97</v>
      </c>
      <c r="L32" s="17">
        <v>28</v>
      </c>
      <c r="M32" s="36"/>
      <c r="N32" s="41" t="s">
        <v>97</v>
      </c>
      <c r="O32" s="39" t="s">
        <v>97</v>
      </c>
    </row>
    <row r="33" spans="2:15" x14ac:dyDescent="0.35">
      <c r="B33" s="49">
        <v>29</v>
      </c>
      <c r="C33" s="50" t="s">
        <v>195</v>
      </c>
      <c r="D33" s="51">
        <v>0</v>
      </c>
      <c r="E33" s="52">
        <v>1</v>
      </c>
      <c r="F33" s="51">
        <f t="shared" si="0"/>
        <v>0</v>
      </c>
      <c r="G33" s="50" t="s">
        <v>637</v>
      </c>
      <c r="H33" s="47" t="s">
        <v>219</v>
      </c>
      <c r="I33" s="50" t="s">
        <v>709</v>
      </c>
      <c r="J33" s="70" t="s">
        <v>221</v>
      </c>
      <c r="K33" s="39" t="s">
        <v>97</v>
      </c>
      <c r="L33" s="14">
        <v>29</v>
      </c>
      <c r="M33" s="35"/>
      <c r="N33" s="40" t="s">
        <v>97</v>
      </c>
      <c r="O33" s="39" t="s">
        <v>97</v>
      </c>
    </row>
    <row r="34" spans="2:15" x14ac:dyDescent="0.35">
      <c r="B34" s="53">
        <v>30</v>
      </c>
      <c r="C34" s="54" t="s">
        <v>193</v>
      </c>
      <c r="D34" s="55">
        <v>0</v>
      </c>
      <c r="E34" s="56">
        <v>1</v>
      </c>
      <c r="F34" s="55">
        <f t="shared" si="0"/>
        <v>0</v>
      </c>
      <c r="G34" s="54" t="s">
        <v>637</v>
      </c>
      <c r="H34" s="48" t="s">
        <v>211</v>
      </c>
      <c r="I34" s="54" t="s">
        <v>710</v>
      </c>
      <c r="J34" s="71" t="s">
        <v>213</v>
      </c>
      <c r="K34" s="39" t="s">
        <v>97</v>
      </c>
      <c r="L34" s="17">
        <v>30</v>
      </c>
      <c r="M34" s="36"/>
      <c r="N34" s="41" t="s">
        <v>97</v>
      </c>
      <c r="O34" s="39" t="s">
        <v>97</v>
      </c>
    </row>
    <row r="35" spans="2:15" x14ac:dyDescent="0.35">
      <c r="B35" s="49">
        <v>31</v>
      </c>
      <c r="C35" s="50" t="s">
        <v>197</v>
      </c>
      <c r="D35" s="51">
        <v>0</v>
      </c>
      <c r="E35" s="52">
        <v>1</v>
      </c>
      <c r="F35" s="51">
        <f t="shared" si="0"/>
        <v>0</v>
      </c>
      <c r="G35" s="50" t="s">
        <v>638</v>
      </c>
      <c r="H35" s="47" t="s">
        <v>226</v>
      </c>
      <c r="I35" s="50" t="s">
        <v>711</v>
      </c>
      <c r="J35" s="70" t="s">
        <v>228</v>
      </c>
      <c r="K35" s="39" t="s">
        <v>97</v>
      </c>
      <c r="L35" s="14">
        <v>31</v>
      </c>
      <c r="M35" s="35"/>
      <c r="N35" s="40" t="s">
        <v>97</v>
      </c>
      <c r="O35" s="39" t="s">
        <v>97</v>
      </c>
    </row>
    <row r="36" spans="2:15" x14ac:dyDescent="0.35">
      <c r="B36" s="53">
        <v>32</v>
      </c>
      <c r="C36" s="54" t="s">
        <v>198</v>
      </c>
      <c r="D36" s="55">
        <v>0</v>
      </c>
      <c r="E36" s="56">
        <v>1</v>
      </c>
      <c r="F36" s="55">
        <f t="shared" si="0"/>
        <v>0</v>
      </c>
      <c r="G36" s="54" t="s">
        <v>638</v>
      </c>
      <c r="H36" s="48" t="s">
        <v>229</v>
      </c>
      <c r="I36" s="54" t="s">
        <v>712</v>
      </c>
      <c r="J36" s="71" t="s">
        <v>231</v>
      </c>
      <c r="K36" s="39" t="s">
        <v>97</v>
      </c>
      <c r="L36" s="17">
        <v>32</v>
      </c>
      <c r="M36" s="36"/>
      <c r="N36" s="41" t="s">
        <v>97</v>
      </c>
      <c r="O36" s="39" t="s">
        <v>97</v>
      </c>
    </row>
    <row r="37" spans="2:15" x14ac:dyDescent="0.35">
      <c r="B37" s="49">
        <v>33</v>
      </c>
      <c r="C37" s="50" t="s">
        <v>521</v>
      </c>
      <c r="D37" s="51">
        <v>13.95</v>
      </c>
      <c r="E37" s="52">
        <v>1</v>
      </c>
      <c r="F37" s="51">
        <f t="shared" si="0"/>
        <v>13.95</v>
      </c>
      <c r="G37" s="50" t="s">
        <v>639</v>
      </c>
      <c r="H37" s="47" t="s">
        <v>713</v>
      </c>
      <c r="I37" s="50" t="s">
        <v>478</v>
      </c>
      <c r="J37" s="70" t="s">
        <v>476</v>
      </c>
      <c r="K37" s="39" t="s">
        <v>97</v>
      </c>
      <c r="L37" s="14">
        <v>33</v>
      </c>
      <c r="M37" s="35"/>
      <c r="N37" s="40" t="s">
        <v>97</v>
      </c>
      <c r="O37" s="39" t="s">
        <v>97</v>
      </c>
    </row>
    <row r="38" spans="2:15" x14ac:dyDescent="0.35">
      <c r="B38" s="53">
        <v>34</v>
      </c>
      <c r="C38" s="54" t="s">
        <v>111</v>
      </c>
      <c r="D38" s="55">
        <v>0</v>
      </c>
      <c r="E38" s="56">
        <v>1</v>
      </c>
      <c r="F38" s="55">
        <f t="shared" si="0"/>
        <v>0</v>
      </c>
      <c r="G38" s="54" t="s">
        <v>640</v>
      </c>
      <c r="H38" s="48" t="s">
        <v>154</v>
      </c>
      <c r="I38" s="54" t="s">
        <v>182</v>
      </c>
      <c r="J38" s="71" t="s">
        <v>155</v>
      </c>
      <c r="K38" s="39" t="s">
        <v>97</v>
      </c>
      <c r="L38" s="17">
        <v>34</v>
      </c>
      <c r="M38" s="36"/>
      <c r="N38" s="41" t="s">
        <v>97</v>
      </c>
      <c r="O38" s="39" t="s">
        <v>97</v>
      </c>
    </row>
    <row r="39" spans="2:15" x14ac:dyDescent="0.35">
      <c r="B39" s="49">
        <v>35</v>
      </c>
      <c r="C39" s="50" t="s">
        <v>203</v>
      </c>
      <c r="D39" s="51">
        <v>0</v>
      </c>
      <c r="E39" s="52">
        <v>1</v>
      </c>
      <c r="F39" s="51">
        <f t="shared" si="0"/>
        <v>0</v>
      </c>
      <c r="G39" s="50" t="s">
        <v>641</v>
      </c>
      <c r="H39" s="47" t="s">
        <v>248</v>
      </c>
      <c r="I39" s="50" t="s">
        <v>249</v>
      </c>
      <c r="J39" s="70" t="s">
        <v>476</v>
      </c>
      <c r="K39" s="39" t="s">
        <v>97</v>
      </c>
      <c r="L39" s="14">
        <v>35</v>
      </c>
      <c r="M39" s="35"/>
      <c r="N39" s="40" t="s">
        <v>97</v>
      </c>
      <c r="O39" s="39" t="s">
        <v>97</v>
      </c>
    </row>
    <row r="40" spans="2:15" x14ac:dyDescent="0.35">
      <c r="B40" s="53">
        <v>36</v>
      </c>
      <c r="C40" s="54" t="s">
        <v>204</v>
      </c>
      <c r="D40" s="55">
        <v>0</v>
      </c>
      <c r="E40" s="56">
        <v>1</v>
      </c>
      <c r="F40" s="55">
        <f t="shared" si="0"/>
        <v>0</v>
      </c>
      <c r="G40" s="54" t="s">
        <v>45</v>
      </c>
      <c r="H40" s="48" t="s">
        <v>250</v>
      </c>
      <c r="I40" s="54" t="s">
        <v>72</v>
      </c>
      <c r="J40" s="72" t="s">
        <v>82</v>
      </c>
      <c r="K40" s="39" t="s">
        <v>97</v>
      </c>
      <c r="L40" s="17">
        <v>36</v>
      </c>
      <c r="M40" s="36"/>
      <c r="N40" s="41" t="s">
        <v>97</v>
      </c>
      <c r="O40" s="39" t="s">
        <v>97</v>
      </c>
    </row>
    <row r="41" spans="2:15" x14ac:dyDescent="0.35">
      <c r="B41" s="49">
        <v>37</v>
      </c>
      <c r="C41" s="50" t="s">
        <v>205</v>
      </c>
      <c r="D41" s="51">
        <v>0</v>
      </c>
      <c r="E41" s="52">
        <v>1</v>
      </c>
      <c r="F41" s="51">
        <f t="shared" si="0"/>
        <v>0</v>
      </c>
      <c r="G41" s="50" t="s">
        <v>45</v>
      </c>
      <c r="H41" s="50" t="s">
        <v>251</v>
      </c>
      <c r="I41" s="50" t="s">
        <v>72</v>
      </c>
      <c r="J41" s="73" t="s">
        <v>82</v>
      </c>
      <c r="K41" s="39" t="s">
        <v>97</v>
      </c>
      <c r="L41" s="14">
        <v>37</v>
      </c>
      <c r="M41" s="35"/>
      <c r="N41" s="40" t="s">
        <v>97</v>
      </c>
      <c r="O41" s="39" t="s">
        <v>97</v>
      </c>
    </row>
    <row r="42" spans="2:15" ht="15" thickBot="1" x14ac:dyDescent="0.4">
      <c r="B42" s="57"/>
      <c r="C42" s="58"/>
      <c r="D42" s="84" t="s">
        <v>96</v>
      </c>
      <c r="E42" s="84"/>
      <c r="F42" s="59">
        <f>SUM(F5:F41)</f>
        <v>529.45000000000005</v>
      </c>
      <c r="G42" s="58"/>
      <c r="H42" s="58"/>
      <c r="I42" s="58"/>
      <c r="J42" s="60"/>
      <c r="K42" s="39" t="s">
        <v>97</v>
      </c>
      <c r="L42" s="34"/>
      <c r="M42" s="37"/>
      <c r="N42" s="38"/>
      <c r="O42" s="39" t="s">
        <v>97</v>
      </c>
    </row>
  </sheetData>
  <mergeCells count="1">
    <mergeCell ref="D42:E42"/>
  </mergeCells>
  <hyperlinks>
    <hyperlink ref="J5" r:id="rId1" xr:uid="{885AB131-0699-4F3A-AB70-1067F5B29A1C}"/>
    <hyperlink ref="J6" r:id="rId2" xr:uid="{3172083A-3791-4992-AC47-BFF49A9831DF}"/>
    <hyperlink ref="J7" r:id="rId3" xr:uid="{FA634821-A2F2-4991-A5EA-B39A5ECE81E8}"/>
    <hyperlink ref="J8" r:id="rId4" xr:uid="{5E9F8792-2FD3-49ED-94BA-8AB543344E64}"/>
    <hyperlink ref="J9" r:id="rId5" xr:uid="{8CE76CA3-D73F-4C7E-B7E4-0369C534CFDD}"/>
    <hyperlink ref="J10" r:id="rId6" xr:uid="{064AEDE5-0C21-4735-972F-58A8CBE6B6A5}"/>
    <hyperlink ref="J11" r:id="rId7" xr:uid="{4159ED22-69F8-46C6-BEE4-B4764DB757D6}"/>
    <hyperlink ref="J12" r:id="rId8" xr:uid="{21E2F5B0-1BEB-4777-B3EF-07CFA608623B}"/>
    <hyperlink ref="J13" r:id="rId9" xr:uid="{B456CBF7-1D38-4E62-872E-C7CC5EFC495A}"/>
    <hyperlink ref="J14" r:id="rId10" xr:uid="{93129E35-7A7A-44B1-95CF-9DBD078EF6CB}"/>
    <hyperlink ref="J15" r:id="rId11" xr:uid="{6974922A-8B9A-4139-B803-7FBD8EB964E3}"/>
    <hyperlink ref="J16" r:id="rId12" xr:uid="{13FDC5B3-B907-4897-AD8B-A27B4CAA5C2D}"/>
    <hyperlink ref="J17" r:id="rId13" xr:uid="{9C5266B2-FC62-4AA4-99CA-6D7F683DA379}"/>
    <hyperlink ref="J18" r:id="rId14" xr:uid="{77AC3272-8D06-4F55-B263-8BA5570BE98C}"/>
    <hyperlink ref="J19" r:id="rId15" xr:uid="{CF80FDB0-93C8-4B4A-B5BC-A4C877483AFE}"/>
    <hyperlink ref="J20" r:id="rId16" xr:uid="{3B6D7920-68DD-4773-BBDB-CD7E0279A600}"/>
    <hyperlink ref="J21" r:id="rId17" xr:uid="{6C490F67-FBA5-4EE4-8B1D-6DD1F175E84A}"/>
    <hyperlink ref="J22" r:id="rId18" xr:uid="{40256271-08F5-491C-BAEC-7E784DC98743}"/>
    <hyperlink ref="J23" r:id="rId19" xr:uid="{C9A302C6-5743-47EB-9130-738675B13938}"/>
    <hyperlink ref="J24" r:id="rId20" xr:uid="{4C0A1D59-F79E-463F-9FEC-3BEB3D51DBAC}"/>
    <hyperlink ref="J25" r:id="rId21" xr:uid="{32421EAF-82E2-498B-93FF-03EEDEA1A826}"/>
    <hyperlink ref="J26" r:id="rId22" xr:uid="{E4798506-6DB7-4DBC-81E1-9CDAF6597B53}"/>
    <hyperlink ref="J27" r:id="rId23" xr:uid="{CAD0ACA8-41E7-4708-964E-81BC7BA11219}"/>
    <hyperlink ref="J28" r:id="rId24" xr:uid="{AEA4C5C4-CDE6-4625-A589-FF20BD087F35}"/>
    <hyperlink ref="J30" r:id="rId25" xr:uid="{7E019771-B317-43C9-8FC7-9CB4A35EB1AA}"/>
    <hyperlink ref="J31" r:id="rId26" xr:uid="{DD715EFE-CE1A-412D-AC93-C732FAEF9B82}"/>
    <hyperlink ref="J32" r:id="rId27" xr:uid="{CEABDBD1-C35F-4BBD-833F-17F1ED1E5DF9}"/>
    <hyperlink ref="J29" r:id="rId28" xr:uid="{0EFF62F0-5D42-4C0B-9913-DD26FBE6A5B9}"/>
    <hyperlink ref="J33" r:id="rId29" xr:uid="{881D66F6-3357-48C8-B266-ADDCD84C8FE1}"/>
    <hyperlink ref="J34" r:id="rId30" xr:uid="{B9E434DE-D868-4DE0-8B78-69B0C28B10CD}"/>
    <hyperlink ref="J35" r:id="rId31" xr:uid="{8C964421-AB65-4492-8C27-55E1812DE6FF}"/>
    <hyperlink ref="J36" r:id="rId32" xr:uid="{B8203A3C-36A0-485A-A266-0539A869F357}"/>
    <hyperlink ref="J37" r:id="rId33" xr:uid="{9429148F-B0D9-4FBD-9944-68EBFEEC81A0}"/>
    <hyperlink ref="J38" r:id="rId34" xr:uid="{43E961C8-B227-46DB-935D-3A401EF7B679}"/>
    <hyperlink ref="J39" r:id="rId35" xr:uid="{B4985180-DAD8-4491-BB53-1FEF39669B9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 Page</vt:lpstr>
      <vt:lpstr>Mojave Sphinx</vt:lpstr>
      <vt:lpstr>Consumables</vt:lpstr>
      <vt:lpstr>Red Toolbox GSE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Austin Sennott</dc:creator>
  <cp:lastModifiedBy>Austin Sennott</cp:lastModifiedBy>
  <dcterms:created xsi:type="dcterms:W3CDTF">2015-06-05T18:17:20Z</dcterms:created>
  <dcterms:modified xsi:type="dcterms:W3CDTF">2026-06-07T23:12:30Z</dcterms:modified>
</cp:coreProperties>
</file>